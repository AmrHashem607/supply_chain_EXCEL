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ietedu-my.sharepoint.com/personal/amr_abdelrazek22010871_aiet_edu_eg/Documents/Desktop/TASK DEPI/"/>
    </mc:Choice>
  </mc:AlternateContent>
  <xr:revisionPtr revIDLastSave="1173" documentId="8_{3E6C41F2-51B8-4962-901E-5C9F12C69224}" xr6:coauthVersionLast="47" xr6:coauthVersionMax="47" xr10:uidLastSave="{CC4BECED-A84A-4506-BA78-B261270873CD}"/>
  <bookViews>
    <workbookView xWindow="-108" yWindow="-108" windowWidth="23256" windowHeight="12456" activeTab="4" xr2:uid="{02997365-B11F-4E76-A4C4-3656B596ED34}"/>
  </bookViews>
  <sheets>
    <sheet name="supply_chain_data (Assignment)" sheetId="1" r:id="rId1"/>
    <sheet name="PivotTables" sheetId="2" r:id="rId2"/>
    <sheet name="Overview" sheetId="3" r:id="rId3"/>
    <sheet name="Supplier &amp; Quality" sheetId="4" r:id="rId4"/>
    <sheet name="Logistics &amp; Cost Analysis" sheetId="5" r:id="rId5"/>
  </sheets>
  <definedNames>
    <definedName name="Slicer_Product_type">#N/A</definedName>
    <definedName name="Slicer_Supplier_name">#N/A</definedName>
    <definedName name="Slicer_Transportation_mode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 i="2" l="1"/>
  <c r="P16" i="2"/>
  <c r="N16" i="2"/>
  <c r="T8" i="2"/>
  <c r="S8" i="2"/>
  <c r="R8" i="2"/>
  <c r="F7" i="2"/>
  <c r="E7" i="2"/>
  <c r="D7" i="2"/>
</calcChain>
</file>

<file path=xl/sharedStrings.xml><?xml version="1.0" encoding="utf-8"?>
<sst xmlns="http://schemas.openxmlformats.org/spreadsheetml/2006/main" count="1099" uniqueCount="170">
  <si>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</si>
  <si>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</si>
  <si>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</si>
  <si>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</si>
  <si>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</si>
  <si>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</si>
  <si>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</si>
  <si>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</si>
  <si>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</si>
  <si>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</si>
  <si>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</si>
  <si>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</si>
  <si>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</si>
  <si>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</si>
  <si>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</si>
  <si>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</si>
  <si>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</si>
  <si>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</si>
  <si>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</si>
  <si>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</si>
  <si>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</si>
  <si>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</si>
  <si>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</si>
  <si>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</si>
  <si>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</si>
  <si>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</si>
  <si>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</si>
  <si>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</si>
  <si>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</si>
  <si>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</si>
  <si>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</si>
  <si>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</si>
  <si>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</si>
  <si>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</si>
  <si>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</si>
  <si>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</si>
  <si>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</si>
  <si>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</si>
  <si>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</si>
  <si>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</si>
  <si>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</si>
  <si>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</si>
  <si>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</si>
  <si>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</si>
  <si>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</si>
  <si>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</si>
  <si>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</si>
  <si>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</si>
  <si>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</si>
  <si>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</si>
  <si>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</si>
  <si>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</si>
  <si>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</si>
  <si>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</si>
  <si>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</si>
  <si>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</si>
  <si>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</si>
  <si>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</si>
  <si>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</si>
  <si>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</si>
  <si>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</si>
  <si>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</si>
  <si>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</si>
  <si>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</si>
  <si>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</si>
  <si>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</si>
  <si>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</si>
  <si>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</si>
  <si>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</si>
  <si>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</si>
  <si>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</si>
  <si>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</si>
  <si>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</si>
  <si>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</si>
  <si>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</si>
  <si>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</si>
  <si>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</si>
  <si>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</si>
  <si>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</si>
  <si>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</si>
  <si>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</si>
  <si>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</si>
  <si>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</si>
  <si>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</si>
  <si>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</si>
  <si>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</si>
  <si>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</si>
  <si>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</si>
  <si>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</si>
  <si>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</si>
  <si>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</si>
  <si>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</si>
  <si>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</si>
  <si>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</si>
  <si>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</si>
  <si>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</si>
  <si>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</si>
  <si>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</si>
  <si>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</si>
  <si>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</si>
  <si>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</si>
  <si>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</si>
  <si>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</si>
  <si>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</si>
  <si>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</si>
  <si>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</si>
  <si>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</si>
  <si>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</si>
  <si>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</si>
  <si>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</si>
  <si>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</si>
  <si>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</si>
  <si>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</si>
  <si>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</si>
  <si>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</si>
  <si>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</si>
  <si>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</si>
  <si>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</si>
  <si>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</si>
  <si>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</si>
  <si>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</si>
  <si>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</si>
  <si>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</si>
  <si>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</si>
  <si>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</si>
  <si>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</si>
  <si>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</si>
  <si>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</si>
  <si>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</si>
  <si>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</si>
  <si>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</si>
  <si>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</si>
  <si>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</si>
  <si>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</si>
  <si>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</si>
  <si>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</si>
  <si>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</si>
  <si>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</si>
  <si>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</si>
  <si>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</si>
  <si>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</si>
  <si>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</si>
  <si>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</si>
  <si>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</si>
  <si>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</si>
  <si>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</si>
  <si>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</si>
  <si>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</si>
  <si>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</si>
  <si>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</si>
  <si>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</si>
  <si>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</si>
  <si>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</si>
  <si>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</si>
  <si>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Sum of Revenue generated</t>
  </si>
  <si>
    <t>Sum of Number of products sold</t>
  </si>
  <si>
    <t>Sum of Costs</t>
  </si>
  <si>
    <t>Row Labels</t>
  </si>
  <si>
    <t>Grand Total</t>
  </si>
  <si>
    <t>Average of Price</t>
  </si>
  <si>
    <t>Sum of Defect rates</t>
  </si>
  <si>
    <t>Average of Stock levels</t>
  </si>
  <si>
    <t>Average of Lead times</t>
  </si>
  <si>
    <t>Average of Defect rates</t>
  </si>
  <si>
    <t>Count of Inspection results</t>
  </si>
  <si>
    <t>Sum of Lead time</t>
  </si>
  <si>
    <t>Sum of Shipping costs</t>
  </si>
  <si>
    <t>Sum of Shipping times</t>
  </si>
  <si>
    <t>Average of Shipping costs</t>
  </si>
  <si>
    <t>Average of Shipping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</si>
</sst>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666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42" applyNumberFormat="1" applyFont="1"/>
    <xf numFmtId="0" fontId="0" fillId="33" borderId="0" xfId="0" applyFill="1"/>
    <xf numFmtId="165" fontId="0" fillId="0" borderId="0" xfId="0" applyNumberFormat="1"/>
    <xf numFmtId="166"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sz val="10"/>
      </font>
      <fill>
        <patternFill patternType="solid">
          <bgColor rgb="FF123337"/>
        </patternFill>
      </fill>
    </dxf>
    <dxf>
      <font>
        <color theme="0"/>
      </font>
      <fill>
        <patternFill>
          <bgColor rgb="FF123337"/>
        </patternFill>
      </fill>
    </dxf>
    <dxf>
      <font>
        <b/>
        <i val="0"/>
        <sz val="9"/>
        <color rgb="FFBAD52E"/>
      </font>
      <border diagonalUp="1" diagonalDown="0">
        <left style="thin">
          <color auto="1"/>
        </left>
        <right style="thin">
          <color auto="1"/>
        </right>
        <top style="thin">
          <color auto="1"/>
        </top>
        <bottom style="thin">
          <color auto="1"/>
        </bottom>
        <diagonal style="thin">
          <color rgb="FFBAD52E"/>
        </diagonal>
        <vertical/>
        <horizontal style="thin">
          <color auto="1"/>
        </horizontal>
      </border>
    </dxf>
    <dxf>
      <font>
        <color rgb="FFBAD52E"/>
      </font>
    </dxf>
    <dxf>
      <font>
        <color rgb="FFBAD52E"/>
      </font>
    </dxf>
  </dxfs>
  <tableStyles count="4" defaultTableStyle="TableStyleMedium2" defaultPivotStyle="PivotStyleLight16">
    <tableStyle name="Invisible" pivot="0" table="0" count="0" xr9:uid="{9D0AC343-07EA-44B9-8C83-CC31DD552760}"/>
    <tableStyle name="Slicer Style 1" pivot="0" table="0" count="4" xr9:uid="{144EB07D-CE3E-461A-ADF2-CBD92FB624BE}">
      <tableStyleElement type="wholeTable" dxfId="17"/>
      <tableStyleElement type="headerRow" dxfId="16"/>
    </tableStyle>
    <tableStyle name="Slicer Style 2" pivot="0" table="0" count="1" xr9:uid="{791D51CB-3921-4139-83D4-2AFE398FB8C8}">
      <tableStyleElement type="wholeTable" dxfId="15"/>
    </tableStyle>
    <tableStyle name="Slicer Style 3" pivot="0" table="0" count="6" xr9:uid="{3FD05254-F37E-43B5-A10C-195F2E589FE5}">
      <tableStyleElement type="wholeTable" dxfId="14"/>
      <tableStyleElement type="headerRow" dxfId="13"/>
    </tableStyle>
  </tableStyles>
  <colors>
    <mruColors>
      <color rgb="FFBAD52E"/>
      <color rgb="FF123337"/>
      <color rgb="FF23666F"/>
      <color rgb="FF12353A"/>
      <color rgb="FF0D2629"/>
      <color rgb="FF133537"/>
      <color rgb="FF08181A"/>
    </mruColors>
  </colors>
  <extLst>
    <ext xmlns:x14="http://schemas.microsoft.com/office/spreadsheetml/2009/9/main" uri="{46F421CA-312F-682f-3DD2-61675219B42D}">
      <x14:dxfs count="3">
        <dxf>
          <font>
            <sz val="11"/>
            <color theme="0"/>
          </font>
          <fill>
            <patternFill>
              <bgColor rgb="FFBAD52E"/>
            </patternFill>
          </fill>
          <border>
            <left style="thin">
              <color auto="1"/>
            </left>
            <right style="thin">
              <color auto="1"/>
            </right>
            <top style="thin">
              <color auto="1"/>
            </top>
            <bottom style="thin">
              <color auto="1"/>
            </bottom>
          </border>
        </dxf>
        <dxf>
          <font>
            <color rgb="FFFFC000"/>
          </font>
        </dxf>
        <dxf>
          <font>
            <color rgb="FFFFFF00"/>
          </font>
        </dxf>
      </x14:dxfs>
    </ext>
    <ext xmlns:x14="http://schemas.microsoft.com/office/spreadsheetml/2009/9/main" uri="{EB79DEF2-80B8-43e5-95BD-54CBDDF9020C}">
      <x14:slicerStyles defaultSlicerStyle="Slicer Style 2">
        <x14:slicerStyle name="Slicer Style 1">
          <x14:slicerStyleElements>
            <x14:slicerStyleElement type="selectedItemWithData" dxfId="2"/>
            <x14:slicerStyleElement type="selectedItemWithNoData" dxfId="1"/>
          </x14:slicerStyleElements>
        </x14:slicerStyle>
        <x14:slicerStyle name="Slicer Style 2"/>
        <x14:slicerStyle name="Slicer Style 3">
          <x14:slicerStyleElements>
            <x14:slicerStyleElement type="unselectedItemWithData"/>
            <x14:slicerStyleElement type="unselectedItemWithNoData"/>
            <x14:slicerStyleElement type="selectedItemWithData" dxfId="0"/>
            <x14:slicerStyleElement type="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(Assignment).xlsx]PivotTables!SKU  by Product Sold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AD5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66941201315351"/>
          <c:y val="9.3457943925233641E-2"/>
          <c:w val="0.75864859564968168"/>
          <c:h val="0.88577362409138105"/>
        </c:manualLayout>
      </c:layout>
      <c:barChart>
        <c:barDir val="bar"/>
        <c:grouping val="clustered"/>
        <c:varyColors val="0"/>
        <c:ser>
          <c:idx val="0"/>
          <c:order val="0"/>
          <c:tx>
            <c:strRef>
              <c:f>PivotTables!$E$25</c:f>
              <c:strCache>
                <c:ptCount val="1"/>
                <c:pt idx="0">
                  <c:v>Total</c:v>
                </c:pt>
              </c:strCache>
            </c:strRef>
          </c:tx>
          <c:spPr>
            <a:solidFill>
              <a:srgbClr val="BAD5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PivotTables!$D$26:$D$31</c:f>
              <c:strCache>
                <c:ptCount val="5"/>
                <c:pt idx="0">
                  <c:v>SKU37</c:v>
                </c:pt>
                <c:pt idx="1">
                  <c:v>SKU36</c:v>
                </c:pt>
                <c:pt idx="2">
                  <c:v>SKU9</c:v>
                </c:pt>
                <c:pt idx="3">
                  <c:v>SKU94</c:v>
                </c:pt>
                <c:pt idx="4">
                  <c:v>SKU10</c:v>
                </c:pt>
              </c:strCache>
            </c:strRef>
          </c:cat>
          <c:val>
            <c:numRef>
              <c:f>PivotTables!$E$26:$E$31</c:f>
              <c:numCache>
                <c:formatCode>_(* #,##0_);_(* \(#,##0\);_(* "-"??_);_(@_)</c:formatCode>
                <c:ptCount val="5"/>
                <c:pt idx="0">
                  <c:v>963</c:v>
                </c:pt>
                <c:pt idx="1">
                  <c:v>963</c:v>
                </c:pt>
                <c:pt idx="2">
                  <c:v>980</c:v>
                </c:pt>
                <c:pt idx="3">
                  <c:v>987</c:v>
                </c:pt>
                <c:pt idx="4">
                  <c:v>996</c:v>
                </c:pt>
              </c:numCache>
            </c:numRef>
          </c:val>
          <c:extLst>
            <c:ext xmlns:c16="http://schemas.microsoft.com/office/drawing/2014/chart" uri="{C3380CC4-5D6E-409C-BE32-E72D297353CC}">
              <c16:uniqueId val="{00000000-62CB-4712-B662-30DB08AF3FD8}"/>
            </c:ext>
          </c:extLst>
        </c:ser>
        <c:dLbls>
          <c:dLblPos val="outEnd"/>
          <c:showLegendKey val="0"/>
          <c:showVal val="1"/>
          <c:showCatName val="0"/>
          <c:showSerName val="0"/>
          <c:showPercent val="0"/>
          <c:showBubbleSize val="0"/>
        </c:dLbls>
        <c:gapWidth val="182"/>
        <c:axId val="1020185760"/>
        <c:axId val="1020186240"/>
      </c:barChart>
      <c:catAx>
        <c:axId val="102018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0186240"/>
        <c:crosses val="autoZero"/>
        <c:auto val="1"/>
        <c:lblAlgn val="ctr"/>
        <c:lblOffset val="100"/>
        <c:noMultiLvlLbl val="0"/>
      </c:catAx>
      <c:valAx>
        <c:axId val="1020186240"/>
        <c:scaling>
          <c:orientation val="minMax"/>
        </c:scaling>
        <c:delete val="1"/>
        <c:axPos val="b"/>
        <c:numFmt formatCode="_(* #,##0_);_(* \(#,##0\);_(* &quot;-&quot;??_);_(@_)" sourceLinked="1"/>
        <c:majorTickMark val="none"/>
        <c:minorTickMark val="none"/>
        <c:tickLblPos val="nextTo"/>
        <c:crossAx val="102018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96548687228051"/>
          <c:y val="4.9164208456243856E-2"/>
          <c:w val="0.84648634037024439"/>
          <c:h val="0.83226023738183175"/>
        </c:manualLayout>
      </c:layout>
      <c:scatterChart>
        <c:scatterStyle val="lineMarker"/>
        <c:varyColors val="0"/>
        <c:ser>
          <c:idx val="0"/>
          <c:order val="0"/>
          <c:tx>
            <c:strRef>
              <c:f>'supply_chain_data (Assignment)'!$E$1</c:f>
              <c:strCache>
                <c:ptCount val="1"/>
                <c:pt idx="0">
                  <c:v>Number of products sold</c:v>
                </c:pt>
              </c:strCache>
            </c:strRef>
          </c:tx>
          <c:spPr>
            <a:ln w="38100" cap="rnd">
              <a:noFill/>
              <a:round/>
            </a:ln>
            <a:effectLst/>
          </c:spPr>
          <c:marker>
            <c:symbol val="circle"/>
            <c:size val="5"/>
            <c:spPr>
              <a:solidFill>
                <a:srgbClr val="FFFF00"/>
              </a:solidFill>
              <a:ln w="9525">
                <a:solidFill>
                  <a:schemeClr val="accent1"/>
                </a:solidFill>
              </a:ln>
              <a:effectLst/>
            </c:spPr>
          </c:marker>
          <c:xVal>
            <c:strRef>
              <c:f>'supply_chain_data (Assignment)'!$E:$E</c:f>
              <c:strCache>
                <c:ptCount val="101"/>
                <c:pt idx="0">
                  <c:v>Number of products sold</c:v>
                </c:pt>
                <c:pt idx="1">
                  <c:v>802</c:v>
                </c:pt>
                <c:pt idx="2">
                  <c:v>736</c:v>
                </c:pt>
                <c:pt idx="3">
                  <c:v>8</c:v>
                </c:pt>
                <c:pt idx="4">
                  <c:v>83</c:v>
                </c:pt>
                <c:pt idx="5">
                  <c:v>871</c:v>
                </c:pt>
                <c:pt idx="6">
                  <c:v>147</c:v>
                </c:pt>
                <c:pt idx="7">
                  <c:v>65</c:v>
                </c:pt>
                <c:pt idx="8">
                  <c:v>426</c:v>
                </c:pt>
                <c:pt idx="9">
                  <c:v>150</c:v>
                </c:pt>
                <c:pt idx="10">
                  <c:v>980</c:v>
                </c:pt>
                <c:pt idx="11">
                  <c:v>996</c:v>
                </c:pt>
                <c:pt idx="12">
                  <c:v>960</c:v>
                </c:pt>
                <c:pt idx="13">
                  <c:v>336</c:v>
                </c:pt>
                <c:pt idx="14">
                  <c:v>249</c:v>
                </c:pt>
                <c:pt idx="15">
                  <c:v>562</c:v>
                </c:pt>
                <c:pt idx="16">
                  <c:v>469</c:v>
                </c:pt>
                <c:pt idx="17">
                  <c:v>280</c:v>
                </c:pt>
                <c:pt idx="18">
                  <c:v>126</c:v>
                </c:pt>
                <c:pt idx="19">
                  <c:v>620</c:v>
                </c:pt>
                <c:pt idx="20">
                  <c:v>187</c:v>
                </c:pt>
                <c:pt idx="21">
                  <c:v>320</c:v>
                </c:pt>
                <c:pt idx="22">
                  <c:v>601</c:v>
                </c:pt>
                <c:pt idx="23">
                  <c:v>884</c:v>
                </c:pt>
                <c:pt idx="24">
                  <c:v>391</c:v>
                </c:pt>
                <c:pt idx="25">
                  <c:v>209</c:v>
                </c:pt>
                <c:pt idx="26">
                  <c:v>142</c:v>
                </c:pt>
                <c:pt idx="27">
                  <c:v>353</c:v>
                </c:pt>
                <c:pt idx="28">
                  <c:v>352</c:v>
                </c:pt>
                <c:pt idx="29">
                  <c:v>394</c:v>
                </c:pt>
                <c:pt idx="30">
                  <c:v>253</c:v>
                </c:pt>
                <c:pt idx="31">
                  <c:v>327</c:v>
                </c:pt>
                <c:pt idx="32">
                  <c:v>168</c:v>
                </c:pt>
                <c:pt idx="33">
                  <c:v>781</c:v>
                </c:pt>
                <c:pt idx="34">
                  <c:v>616</c:v>
                </c:pt>
                <c:pt idx="35">
                  <c:v>602</c:v>
                </c:pt>
                <c:pt idx="36">
                  <c:v>449</c:v>
                </c:pt>
                <c:pt idx="37">
                  <c:v>963</c:v>
                </c:pt>
                <c:pt idx="38">
                  <c:v>963</c:v>
                </c:pt>
                <c:pt idx="39">
                  <c:v>705</c:v>
                </c:pt>
                <c:pt idx="40">
                  <c:v>176</c:v>
                </c:pt>
                <c:pt idx="41">
                  <c:v>933</c:v>
                </c:pt>
                <c:pt idx="42">
                  <c:v>556</c:v>
                </c:pt>
                <c:pt idx="43">
                  <c:v>155</c:v>
                </c:pt>
                <c:pt idx="44">
                  <c:v>598</c:v>
                </c:pt>
                <c:pt idx="45">
                  <c:v>919</c:v>
                </c:pt>
                <c:pt idx="46">
                  <c:v>24</c:v>
                </c:pt>
                <c:pt idx="47">
                  <c:v>859</c:v>
                </c:pt>
                <c:pt idx="48">
                  <c:v>910</c:v>
                </c:pt>
                <c:pt idx="49">
                  <c:v>29</c:v>
                </c:pt>
                <c:pt idx="50">
                  <c:v>99</c:v>
                </c:pt>
                <c:pt idx="51">
                  <c:v>633</c:v>
                </c:pt>
                <c:pt idx="52">
                  <c:v>154</c:v>
                </c:pt>
                <c:pt idx="53">
                  <c:v>820</c:v>
                </c:pt>
                <c:pt idx="54">
                  <c:v>242</c:v>
                </c:pt>
                <c:pt idx="55">
                  <c:v>622</c:v>
                </c:pt>
                <c:pt idx="56">
                  <c:v>701</c:v>
                </c:pt>
                <c:pt idx="57">
                  <c:v>93</c:v>
                </c:pt>
                <c:pt idx="58">
                  <c:v>227</c:v>
                </c:pt>
                <c:pt idx="59">
                  <c:v>896</c:v>
                </c:pt>
                <c:pt idx="60">
                  <c:v>484</c:v>
                </c:pt>
                <c:pt idx="61">
                  <c:v>380</c:v>
                </c:pt>
                <c:pt idx="62">
                  <c:v>117</c:v>
                </c:pt>
                <c:pt idx="63">
                  <c:v>270</c:v>
                </c:pt>
                <c:pt idx="64">
                  <c:v>246</c:v>
                </c:pt>
                <c:pt idx="65">
                  <c:v>134</c:v>
                </c:pt>
                <c:pt idx="66">
                  <c:v>457</c:v>
                </c:pt>
                <c:pt idx="67">
                  <c:v>704</c:v>
                </c:pt>
                <c:pt idx="68">
                  <c:v>513</c:v>
                </c:pt>
                <c:pt idx="69">
                  <c:v>163</c:v>
                </c:pt>
                <c:pt idx="70">
                  <c:v>511</c:v>
                </c:pt>
                <c:pt idx="71">
                  <c:v>32</c:v>
                </c:pt>
                <c:pt idx="72">
                  <c:v>637</c:v>
                </c:pt>
                <c:pt idx="73">
                  <c:v>478</c:v>
                </c:pt>
                <c:pt idx="74">
                  <c:v>375</c:v>
                </c:pt>
                <c:pt idx="75">
                  <c:v>904</c:v>
                </c:pt>
                <c:pt idx="76">
                  <c:v>106</c:v>
                </c:pt>
                <c:pt idx="77">
                  <c:v>241</c:v>
                </c:pt>
                <c:pt idx="78">
                  <c:v>359</c:v>
                </c:pt>
                <c:pt idx="79">
                  <c:v>946</c:v>
                </c:pt>
                <c:pt idx="80">
                  <c:v>198</c:v>
                </c:pt>
                <c:pt idx="81">
                  <c:v>872</c:v>
                </c:pt>
                <c:pt idx="82">
                  <c:v>774</c:v>
                </c:pt>
                <c:pt idx="83">
                  <c:v>336</c:v>
                </c:pt>
                <c:pt idx="84">
                  <c:v>663</c:v>
                </c:pt>
                <c:pt idx="85">
                  <c:v>618</c:v>
                </c:pt>
                <c:pt idx="86">
                  <c:v>25</c:v>
                </c:pt>
                <c:pt idx="87">
                  <c:v>223</c:v>
                </c:pt>
                <c:pt idx="88">
                  <c:v>79</c:v>
                </c:pt>
                <c:pt idx="89">
                  <c:v>737</c:v>
                </c:pt>
                <c:pt idx="90">
                  <c:v>134</c:v>
                </c:pt>
                <c:pt idx="91">
                  <c:v>320</c:v>
                </c:pt>
                <c:pt idx="92">
                  <c:v>916</c:v>
                </c:pt>
                <c:pt idx="93">
                  <c:v>276</c:v>
                </c:pt>
                <c:pt idx="94">
                  <c:v>114</c:v>
                </c:pt>
                <c:pt idx="95">
                  <c:v>987</c:v>
                </c:pt>
                <c:pt idx="96">
                  <c:v>672</c:v>
                </c:pt>
                <c:pt idx="97">
                  <c:v>324</c:v>
                </c:pt>
                <c:pt idx="98">
                  <c:v>62</c:v>
                </c:pt>
                <c:pt idx="99">
                  <c:v>913</c:v>
                </c:pt>
                <c:pt idx="100">
                  <c:v>627</c:v>
                </c:pt>
              </c:strCache>
            </c:strRef>
          </c:xVal>
          <c:yVal>
            <c:numRef>
              <c:f>'supply_chain_data (Assignment)'!$F:$F</c:f>
              <c:numCache>
                <c:formatCode>General</c:formatCode>
                <c:ptCount val="1048576"/>
                <c:pt idx="0">
                  <c:v>0</c:v>
                </c:pt>
                <c:pt idx="1">
                  <c:v>8661.9967923923796</c:v>
                </c:pt>
                <c:pt idx="2">
                  <c:v>7460.9000654458396</c:v>
                </c:pt>
                <c:pt idx="3">
                  <c:v>9577.7496258687297</c:v>
                </c:pt>
                <c:pt idx="4">
                  <c:v>7766.8364256852301</c:v>
                </c:pt>
                <c:pt idx="5">
                  <c:v>2686.50515156744</c:v>
                </c:pt>
                <c:pt idx="6">
                  <c:v>2828.3487459757498</c:v>
                </c:pt>
                <c:pt idx="7">
                  <c:v>7823.4765595317303</c:v>
                </c:pt>
                <c:pt idx="8">
                  <c:v>8496.1038130898305</c:v>
                </c:pt>
                <c:pt idx="9">
                  <c:v>7517.3632106311197</c:v>
                </c:pt>
                <c:pt idx="10">
                  <c:v>4971.1459875855498</c:v>
                </c:pt>
                <c:pt idx="11">
                  <c:v>2330.9658020919401</c:v>
                </c:pt>
                <c:pt idx="12">
                  <c:v>6099.9441155814502</c:v>
                </c:pt>
                <c:pt idx="13">
                  <c:v>2873.74144602144</c:v>
                </c:pt>
                <c:pt idx="14">
                  <c:v>4052.7384162378598</c:v>
                </c:pt>
                <c:pt idx="15">
                  <c:v>8653.5709264697998</c:v>
                </c:pt>
                <c:pt idx="16">
                  <c:v>5442.0867853976697</c:v>
                </c:pt>
                <c:pt idx="17">
                  <c:v>6453.7979681762799</c:v>
                </c:pt>
                <c:pt idx="18">
                  <c:v>2629.39643484526</c:v>
                </c:pt>
                <c:pt idx="19">
                  <c:v>9364.6735050761708</c:v>
                </c:pt>
                <c:pt idx="20">
                  <c:v>2553.4955849912099</c:v>
                </c:pt>
                <c:pt idx="21">
                  <c:v>8128.0276968511898</c:v>
                </c:pt>
                <c:pt idx="22">
                  <c:v>7087.0526963574302</c:v>
                </c:pt>
                <c:pt idx="23">
                  <c:v>2390.8078665561702</c:v>
                </c:pt>
                <c:pt idx="24">
                  <c:v>8858.3675710114803</c:v>
                </c:pt>
                <c:pt idx="25">
                  <c:v>9049.0778609398894</c:v>
                </c:pt>
                <c:pt idx="26">
                  <c:v>2174.7770543506499</c:v>
                </c:pt>
                <c:pt idx="27">
                  <c:v>3716.49332589403</c:v>
                </c:pt>
                <c:pt idx="28">
                  <c:v>2686.4572235759802</c:v>
                </c:pt>
                <c:pt idx="29">
                  <c:v>6117.3246150839896</c:v>
                </c:pt>
                <c:pt idx="30">
                  <c:v>8318.9031946171708</c:v>
                </c:pt>
                <c:pt idx="31">
                  <c:v>2766.3423668660798</c:v>
                </c:pt>
                <c:pt idx="32">
                  <c:v>9655.1351027193905</c:v>
                </c:pt>
                <c:pt idx="33">
                  <c:v>9571.5504873278096</c:v>
                </c:pt>
                <c:pt idx="34">
                  <c:v>5149.9983504080301</c:v>
                </c:pt>
                <c:pt idx="35">
                  <c:v>9061.7108955077201</c:v>
                </c:pt>
                <c:pt idx="36">
                  <c:v>6541.3293448024597</c:v>
                </c:pt>
                <c:pt idx="37">
                  <c:v>7573.4024578487297</c:v>
                </c:pt>
                <c:pt idx="38">
                  <c:v>2438.3399304700201</c:v>
                </c:pt>
                <c:pt idx="39">
                  <c:v>9692.3180402184298</c:v>
                </c:pt>
                <c:pt idx="40">
                  <c:v>1912.4656631007599</c:v>
                </c:pt>
                <c:pt idx="41">
                  <c:v>5724.9593504562599</c:v>
                </c:pt>
                <c:pt idx="42">
                  <c:v>5521.2052590109697</c:v>
                </c:pt>
                <c:pt idx="43">
                  <c:v>1839.60942585676</c:v>
                </c:pt>
                <c:pt idx="44">
                  <c:v>5737.4255991190203</c:v>
                </c:pt>
                <c:pt idx="45">
                  <c:v>7152.28604943551</c:v>
                </c:pt>
                <c:pt idx="46">
                  <c:v>5267.9568075105199</c:v>
                </c:pt>
                <c:pt idx="47">
                  <c:v>2556.7673606335902</c:v>
                </c:pt>
                <c:pt idx="48">
                  <c:v>7089.4742499341801</c:v>
                </c:pt>
                <c:pt idx="49">
                  <c:v>7397.0710045871801</c:v>
                </c:pt>
                <c:pt idx="50">
                  <c:v>8001.6132065190004</c:v>
                </c:pt>
                <c:pt idx="51">
                  <c:v>5910.8853896688897</c:v>
                </c:pt>
                <c:pt idx="52">
                  <c:v>9866.4654579796897</c:v>
                </c:pt>
                <c:pt idx="53">
                  <c:v>9435.7626089121295</c:v>
                </c:pt>
                <c:pt idx="54">
                  <c:v>8232.3348294258194</c:v>
                </c:pt>
                <c:pt idx="55">
                  <c:v>6088.0214799408504</c:v>
                </c:pt>
                <c:pt idx="56">
                  <c:v>2925.6751703038099</c:v>
                </c:pt>
                <c:pt idx="57">
                  <c:v>4767.0204843441297</c:v>
                </c:pt>
                <c:pt idx="58">
                  <c:v>1605.8669003924001</c:v>
                </c:pt>
                <c:pt idx="59">
                  <c:v>2021.1498103371</c:v>
                </c:pt>
                <c:pt idx="60">
                  <c:v>1061.6185230132801</c:v>
                </c:pt>
                <c:pt idx="61">
                  <c:v>8864.0843495864301</c:v>
                </c:pt>
                <c:pt idx="62">
                  <c:v>6885.5893508962499</c:v>
                </c:pt>
                <c:pt idx="63">
                  <c:v>3899.7468337292198</c:v>
                </c:pt>
                <c:pt idx="64">
                  <c:v>4256.9491408502199</c:v>
                </c:pt>
                <c:pt idx="65">
                  <c:v>8458.7308783671706</c:v>
                </c:pt>
                <c:pt idx="66">
                  <c:v>8354.5796864819895</c:v>
                </c:pt>
                <c:pt idx="67">
                  <c:v>8367.7216180201503</c:v>
                </c:pt>
                <c:pt idx="68">
                  <c:v>9473.7980325083299</c:v>
                </c:pt>
                <c:pt idx="69">
                  <c:v>3550.21843278099</c:v>
                </c:pt>
                <c:pt idx="70">
                  <c:v>1752.3810874841199</c:v>
                </c:pt>
                <c:pt idx="71">
                  <c:v>7014.8879872033804</c:v>
                </c:pt>
                <c:pt idx="72">
                  <c:v>8180.3370854254399</c:v>
                </c:pt>
                <c:pt idx="73">
                  <c:v>2633.1219813122498</c:v>
                </c:pt>
                <c:pt idx="74">
                  <c:v>7910.8869161406801</c:v>
                </c:pt>
                <c:pt idx="75">
                  <c:v>5709.9452959692799</c:v>
                </c:pt>
                <c:pt idx="76">
                  <c:v>1889.07358977933</c:v>
                </c:pt>
                <c:pt idx="77">
                  <c:v>5328.3759842977497</c:v>
                </c:pt>
                <c:pt idx="78">
                  <c:v>2483.7601775427902</c:v>
                </c:pt>
                <c:pt idx="79">
                  <c:v>1292.45841793775</c:v>
                </c:pt>
                <c:pt idx="80">
                  <c:v>7888.7232684270803</c:v>
                </c:pt>
                <c:pt idx="81">
                  <c:v>8651.67268298206</c:v>
                </c:pt>
                <c:pt idx="82">
                  <c:v>4384.4134000458598</c:v>
                </c:pt>
                <c:pt idx="83">
                  <c:v>2943.3818676094502</c:v>
                </c:pt>
                <c:pt idx="84">
                  <c:v>2411.7546321104901</c:v>
                </c:pt>
                <c:pt idx="85">
                  <c:v>2048.2900998487098</c:v>
                </c:pt>
                <c:pt idx="86">
                  <c:v>8684.6130592538502</c:v>
                </c:pt>
                <c:pt idx="87">
                  <c:v>1229.59102856498</c:v>
                </c:pt>
                <c:pt idx="88">
                  <c:v>5133.8467010866898</c:v>
                </c:pt>
                <c:pt idx="89">
                  <c:v>9444.7420330629793</c:v>
                </c:pt>
                <c:pt idx="90">
                  <c:v>5924.6825668532301</c:v>
                </c:pt>
                <c:pt idx="91">
                  <c:v>9592.6335702803099</c:v>
                </c:pt>
                <c:pt idx="92">
                  <c:v>1935.20679350759</c:v>
                </c:pt>
                <c:pt idx="93">
                  <c:v>2100.1297546259302</c:v>
                </c:pt>
                <c:pt idx="94">
                  <c:v>4531.4021336919004</c:v>
                </c:pt>
                <c:pt idx="95">
                  <c:v>7888.3565466618702</c:v>
                </c:pt>
                <c:pt idx="96">
                  <c:v>7386.3639440486604</c:v>
                </c:pt>
                <c:pt idx="97">
                  <c:v>7698.4247656321104</c:v>
                </c:pt>
                <c:pt idx="98">
                  <c:v>4370.9165799845296</c:v>
                </c:pt>
                <c:pt idx="99">
                  <c:v>8525.9525596835192</c:v>
                </c:pt>
                <c:pt idx="100">
                  <c:v>9185.1858291817007</c:v>
                </c:pt>
              </c:numCache>
            </c:numRef>
          </c:yVal>
          <c:smooth val="0"/>
          <c:extLst>
            <c:ext xmlns:c16="http://schemas.microsoft.com/office/drawing/2014/chart" uri="{C3380CC4-5D6E-409C-BE32-E72D297353CC}">
              <c16:uniqueId val="{00000000-B8B4-47AB-BBF9-0960FA5B3C6C}"/>
            </c:ext>
          </c:extLst>
        </c:ser>
        <c:ser>
          <c:idx val="1"/>
          <c:order val="1"/>
          <c:tx>
            <c:strRef>
              <c:f>'supply_chain_data (Assignment)'!$F$1</c:f>
              <c:strCache>
                <c:ptCount val="1"/>
                <c:pt idx="0">
                  <c:v>Revenue generated</c:v>
                </c:pt>
              </c:strCache>
            </c:strRef>
          </c:tx>
          <c:spPr>
            <a:ln w="38100" cap="rnd">
              <a:noFill/>
              <a:round/>
            </a:ln>
            <a:effectLst/>
          </c:spPr>
          <c:marker>
            <c:symbol val="circle"/>
            <c:size val="5"/>
            <c:spPr>
              <a:solidFill>
                <a:schemeClr val="accent2"/>
              </a:solidFill>
              <a:ln w="9525">
                <a:solidFill>
                  <a:schemeClr val="accent2"/>
                </a:solidFill>
              </a:ln>
              <a:effectLst/>
            </c:spPr>
          </c:marker>
          <c:xVal>
            <c:strRef>
              <c:f>'supply_chain_data (Assignment)'!$B$2:$B$101</c:f>
              <c:strCache>
                <c:ptCount val="100"/>
                <c:pt idx="0">
                  <c:v>SKU0</c:v>
                </c:pt>
                <c:pt idx="1">
                  <c:v>SKU1</c:v>
                </c:pt>
                <c:pt idx="2">
                  <c:v>SKU2</c:v>
                </c:pt>
                <c:pt idx="3">
                  <c:v>SKU3</c:v>
                </c:pt>
                <c:pt idx="4">
                  <c:v>SKU4</c:v>
                </c:pt>
                <c:pt idx="5">
                  <c:v>SKU5</c:v>
                </c:pt>
                <c:pt idx="6">
                  <c:v>SKU6</c:v>
                </c:pt>
                <c:pt idx="7">
                  <c:v>SKU7</c:v>
                </c:pt>
                <c:pt idx="8">
                  <c:v>SKU8</c:v>
                </c:pt>
                <c:pt idx="9">
                  <c:v>SKU9</c:v>
                </c:pt>
                <c:pt idx="10">
                  <c:v>SKU10</c:v>
                </c:pt>
                <c:pt idx="11">
                  <c:v>SKU11</c:v>
                </c:pt>
                <c:pt idx="12">
                  <c:v>SKU12</c:v>
                </c:pt>
                <c:pt idx="13">
                  <c:v>SKU13</c:v>
                </c:pt>
                <c:pt idx="14">
                  <c:v>SKU14</c:v>
                </c:pt>
                <c:pt idx="15">
                  <c:v>SKU15</c:v>
                </c:pt>
                <c:pt idx="16">
                  <c:v>SKU16</c:v>
                </c:pt>
                <c:pt idx="17">
                  <c:v>SKU17</c:v>
                </c:pt>
                <c:pt idx="18">
                  <c:v>SKU18</c:v>
                </c:pt>
                <c:pt idx="19">
                  <c:v>SKU19</c:v>
                </c:pt>
                <c:pt idx="20">
                  <c:v>SKU20</c:v>
                </c:pt>
                <c:pt idx="21">
                  <c:v>SKU21</c:v>
                </c:pt>
                <c:pt idx="22">
                  <c:v>SKU22</c:v>
                </c:pt>
                <c:pt idx="23">
                  <c:v>SKU23</c:v>
                </c:pt>
                <c:pt idx="24">
                  <c:v>SKU24</c:v>
                </c:pt>
                <c:pt idx="25">
                  <c:v>SKU25</c:v>
                </c:pt>
                <c:pt idx="26">
                  <c:v>SKU26</c:v>
                </c:pt>
                <c:pt idx="27">
                  <c:v>SKU27</c:v>
                </c:pt>
                <c:pt idx="28">
                  <c:v>SKU28</c:v>
                </c:pt>
                <c:pt idx="29">
                  <c:v>SKU29</c:v>
                </c:pt>
                <c:pt idx="30">
                  <c:v>SKU30</c:v>
                </c:pt>
                <c:pt idx="31">
                  <c:v>SKU31</c:v>
                </c:pt>
                <c:pt idx="32">
                  <c:v>SKU32</c:v>
                </c:pt>
                <c:pt idx="33">
                  <c:v>SKU33</c:v>
                </c:pt>
                <c:pt idx="34">
                  <c:v>SKU34</c:v>
                </c:pt>
                <c:pt idx="35">
                  <c:v>SKU35</c:v>
                </c:pt>
                <c:pt idx="36">
                  <c:v>SKU36</c:v>
                </c:pt>
                <c:pt idx="37">
                  <c:v>SKU37</c:v>
                </c:pt>
                <c:pt idx="38">
                  <c:v>SKU38</c:v>
                </c:pt>
                <c:pt idx="39">
                  <c:v>SKU39</c:v>
                </c:pt>
                <c:pt idx="40">
                  <c:v>SKU40</c:v>
                </c:pt>
                <c:pt idx="41">
                  <c:v>SKU41</c:v>
                </c:pt>
                <c:pt idx="42">
                  <c:v>SKU42</c:v>
                </c:pt>
                <c:pt idx="43">
                  <c:v>SKU43</c:v>
                </c:pt>
                <c:pt idx="44">
                  <c:v>SKU44</c:v>
                </c:pt>
                <c:pt idx="45">
                  <c:v>SKU45</c:v>
                </c:pt>
                <c:pt idx="46">
                  <c:v>SKU46</c:v>
                </c:pt>
                <c:pt idx="47">
                  <c:v>SKU47</c:v>
                </c:pt>
                <c:pt idx="48">
                  <c:v>SKU48</c:v>
                </c:pt>
                <c:pt idx="49">
                  <c:v>SKU49</c:v>
                </c:pt>
                <c:pt idx="50">
                  <c:v>SKU50</c:v>
                </c:pt>
                <c:pt idx="51">
                  <c:v>SKU51</c:v>
                </c:pt>
                <c:pt idx="52">
                  <c:v>SKU52</c:v>
                </c:pt>
                <c:pt idx="53">
                  <c:v>SKU53</c:v>
                </c:pt>
                <c:pt idx="54">
                  <c:v>SKU54</c:v>
                </c:pt>
                <c:pt idx="55">
                  <c:v>SKU55</c:v>
                </c:pt>
                <c:pt idx="56">
                  <c:v>SKU56</c:v>
                </c:pt>
                <c:pt idx="57">
                  <c:v>SKU57</c:v>
                </c:pt>
                <c:pt idx="58">
                  <c:v>SKU58</c:v>
                </c:pt>
                <c:pt idx="59">
                  <c:v>SKU59</c:v>
                </c:pt>
                <c:pt idx="60">
                  <c:v>SKU60</c:v>
                </c:pt>
                <c:pt idx="61">
                  <c:v>SKU61</c:v>
                </c:pt>
                <c:pt idx="62">
                  <c:v>SKU62</c:v>
                </c:pt>
                <c:pt idx="63">
                  <c:v>SKU63</c:v>
                </c:pt>
                <c:pt idx="64">
                  <c:v>SKU64</c:v>
                </c:pt>
                <c:pt idx="65">
                  <c:v>SKU65</c:v>
                </c:pt>
                <c:pt idx="66">
                  <c:v>SKU66</c:v>
                </c:pt>
                <c:pt idx="67">
                  <c:v>SKU67</c:v>
                </c:pt>
                <c:pt idx="68">
                  <c:v>SKU68</c:v>
                </c:pt>
                <c:pt idx="69">
                  <c:v>SKU69</c:v>
                </c:pt>
                <c:pt idx="70">
                  <c:v>SKU70</c:v>
                </c:pt>
                <c:pt idx="71">
                  <c:v>SKU71</c:v>
                </c:pt>
                <c:pt idx="72">
                  <c:v>SKU72</c:v>
                </c:pt>
                <c:pt idx="73">
                  <c:v>SKU73</c:v>
                </c:pt>
                <c:pt idx="74">
                  <c:v>SKU74</c:v>
                </c:pt>
                <c:pt idx="75">
                  <c:v>SKU75</c:v>
                </c:pt>
                <c:pt idx="76">
                  <c:v>SKU76</c:v>
                </c:pt>
                <c:pt idx="77">
                  <c:v>SKU77</c:v>
                </c:pt>
                <c:pt idx="78">
                  <c:v>SKU78</c:v>
                </c:pt>
                <c:pt idx="79">
                  <c:v>SKU79</c:v>
                </c:pt>
                <c:pt idx="80">
                  <c:v>SKU80</c:v>
                </c:pt>
                <c:pt idx="81">
                  <c:v>SKU81</c:v>
                </c:pt>
                <c:pt idx="82">
                  <c:v>SKU82</c:v>
                </c:pt>
                <c:pt idx="83">
                  <c:v>SKU83</c:v>
                </c:pt>
                <c:pt idx="84">
                  <c:v>SKU84</c:v>
                </c:pt>
                <c:pt idx="85">
                  <c:v>SKU85</c:v>
                </c:pt>
                <c:pt idx="86">
                  <c:v>SKU86</c:v>
                </c:pt>
                <c:pt idx="87">
                  <c:v>SKU87</c:v>
                </c:pt>
                <c:pt idx="88">
                  <c:v>SKU88</c:v>
                </c:pt>
                <c:pt idx="89">
                  <c:v>SKU89</c:v>
                </c:pt>
                <c:pt idx="90">
                  <c:v>SKU90</c:v>
                </c:pt>
                <c:pt idx="91">
                  <c:v>SKU91</c:v>
                </c:pt>
                <c:pt idx="92">
                  <c:v>SKU92</c:v>
                </c:pt>
                <c:pt idx="93">
                  <c:v>SKU93</c:v>
                </c:pt>
                <c:pt idx="94">
                  <c:v>SKU94</c:v>
                </c:pt>
                <c:pt idx="95">
                  <c:v>SKU95</c:v>
                </c:pt>
                <c:pt idx="96">
                  <c:v>SKU96</c:v>
                </c:pt>
                <c:pt idx="97">
                  <c:v>SKU97</c:v>
                </c:pt>
                <c:pt idx="98">
                  <c:v>SKU98</c:v>
                </c:pt>
                <c:pt idx="99">
                  <c:v>SKU99</c:v>
                </c:pt>
              </c:strCache>
            </c:strRef>
          </c:xVal>
          <c:yVal>
            <c:numRef>
              <c:f>'supply_chain_data (Assignment)'!$F$2:$F$101</c:f>
              <c:numCache>
                <c:formatCode>General</c:formatCode>
                <c:ptCount val="100"/>
                <c:pt idx="0">
                  <c:v>8661.9967923923796</c:v>
                </c:pt>
                <c:pt idx="1">
                  <c:v>7460.9000654458396</c:v>
                </c:pt>
                <c:pt idx="2">
                  <c:v>9577.7496258687297</c:v>
                </c:pt>
                <c:pt idx="3">
                  <c:v>7766.8364256852301</c:v>
                </c:pt>
                <c:pt idx="4">
                  <c:v>2686.50515156744</c:v>
                </c:pt>
                <c:pt idx="5">
                  <c:v>2828.3487459757498</c:v>
                </c:pt>
                <c:pt idx="6">
                  <c:v>7823.4765595317303</c:v>
                </c:pt>
                <c:pt idx="7">
                  <c:v>8496.1038130898305</c:v>
                </c:pt>
                <c:pt idx="8">
                  <c:v>7517.3632106311197</c:v>
                </c:pt>
                <c:pt idx="9">
                  <c:v>4971.1459875855498</c:v>
                </c:pt>
                <c:pt idx="10">
                  <c:v>2330.9658020919401</c:v>
                </c:pt>
                <c:pt idx="11">
                  <c:v>6099.9441155814502</c:v>
                </c:pt>
                <c:pt idx="12">
                  <c:v>2873.74144602144</c:v>
                </c:pt>
                <c:pt idx="13">
                  <c:v>4052.7384162378598</c:v>
                </c:pt>
                <c:pt idx="14">
                  <c:v>8653.5709264697998</c:v>
                </c:pt>
                <c:pt idx="15">
                  <c:v>5442.0867853976697</c:v>
                </c:pt>
                <c:pt idx="16">
                  <c:v>6453.7979681762799</c:v>
                </c:pt>
                <c:pt idx="17">
                  <c:v>2629.39643484526</c:v>
                </c:pt>
                <c:pt idx="18">
                  <c:v>9364.6735050761708</c:v>
                </c:pt>
                <c:pt idx="19">
                  <c:v>2553.4955849912099</c:v>
                </c:pt>
                <c:pt idx="20">
                  <c:v>8128.0276968511898</c:v>
                </c:pt>
                <c:pt idx="21">
                  <c:v>7087.0526963574302</c:v>
                </c:pt>
                <c:pt idx="22">
                  <c:v>2390.8078665561702</c:v>
                </c:pt>
                <c:pt idx="23">
                  <c:v>8858.3675710114803</c:v>
                </c:pt>
                <c:pt idx="24">
                  <c:v>9049.0778609398894</c:v>
                </c:pt>
                <c:pt idx="25">
                  <c:v>2174.7770543506499</c:v>
                </c:pt>
                <c:pt idx="26">
                  <c:v>3716.49332589403</c:v>
                </c:pt>
                <c:pt idx="27">
                  <c:v>2686.4572235759802</c:v>
                </c:pt>
                <c:pt idx="28">
                  <c:v>6117.3246150839896</c:v>
                </c:pt>
                <c:pt idx="29">
                  <c:v>8318.9031946171708</c:v>
                </c:pt>
                <c:pt idx="30">
                  <c:v>2766.3423668660798</c:v>
                </c:pt>
                <c:pt idx="31">
                  <c:v>9655.1351027193905</c:v>
                </c:pt>
                <c:pt idx="32">
                  <c:v>9571.5504873278096</c:v>
                </c:pt>
                <c:pt idx="33">
                  <c:v>5149.9983504080301</c:v>
                </c:pt>
                <c:pt idx="34">
                  <c:v>9061.7108955077201</c:v>
                </c:pt>
                <c:pt idx="35">
                  <c:v>6541.3293448024597</c:v>
                </c:pt>
                <c:pt idx="36">
                  <c:v>7573.4024578487297</c:v>
                </c:pt>
                <c:pt idx="37">
                  <c:v>2438.3399304700201</c:v>
                </c:pt>
                <c:pt idx="38">
                  <c:v>9692.3180402184298</c:v>
                </c:pt>
                <c:pt idx="39">
                  <c:v>1912.4656631007599</c:v>
                </c:pt>
                <c:pt idx="40">
                  <c:v>5724.9593504562599</c:v>
                </c:pt>
                <c:pt idx="41">
                  <c:v>5521.2052590109697</c:v>
                </c:pt>
                <c:pt idx="42">
                  <c:v>1839.60942585676</c:v>
                </c:pt>
                <c:pt idx="43">
                  <c:v>5737.4255991190203</c:v>
                </c:pt>
                <c:pt idx="44">
                  <c:v>7152.28604943551</c:v>
                </c:pt>
                <c:pt idx="45">
                  <c:v>5267.9568075105199</c:v>
                </c:pt>
                <c:pt idx="46">
                  <c:v>2556.7673606335902</c:v>
                </c:pt>
                <c:pt idx="47">
                  <c:v>7089.4742499341801</c:v>
                </c:pt>
                <c:pt idx="48">
                  <c:v>7397.0710045871801</c:v>
                </c:pt>
                <c:pt idx="49">
                  <c:v>8001.6132065190004</c:v>
                </c:pt>
                <c:pt idx="50">
                  <c:v>5910.8853896688897</c:v>
                </c:pt>
                <c:pt idx="51">
                  <c:v>9866.4654579796897</c:v>
                </c:pt>
                <c:pt idx="52">
                  <c:v>9435.7626089121295</c:v>
                </c:pt>
                <c:pt idx="53">
                  <c:v>8232.3348294258194</c:v>
                </c:pt>
                <c:pt idx="54">
                  <c:v>6088.0214799408504</c:v>
                </c:pt>
                <c:pt idx="55">
                  <c:v>2925.6751703038099</c:v>
                </c:pt>
                <c:pt idx="56">
                  <c:v>4767.0204843441297</c:v>
                </c:pt>
                <c:pt idx="57">
                  <c:v>1605.8669003924001</c:v>
                </c:pt>
                <c:pt idx="58">
                  <c:v>2021.1498103371</c:v>
                </c:pt>
                <c:pt idx="59">
                  <c:v>1061.6185230132801</c:v>
                </c:pt>
                <c:pt idx="60">
                  <c:v>8864.0843495864301</c:v>
                </c:pt>
                <c:pt idx="61">
                  <c:v>6885.5893508962499</c:v>
                </c:pt>
                <c:pt idx="62">
                  <c:v>3899.7468337292198</c:v>
                </c:pt>
                <c:pt idx="63">
                  <c:v>4256.9491408502199</c:v>
                </c:pt>
                <c:pt idx="64">
                  <c:v>8458.7308783671706</c:v>
                </c:pt>
                <c:pt idx="65">
                  <c:v>8354.5796864819895</c:v>
                </c:pt>
                <c:pt idx="66">
                  <c:v>8367.7216180201503</c:v>
                </c:pt>
                <c:pt idx="67">
                  <c:v>9473.7980325083299</c:v>
                </c:pt>
                <c:pt idx="68">
                  <c:v>3550.21843278099</c:v>
                </c:pt>
                <c:pt idx="69">
                  <c:v>1752.3810874841199</c:v>
                </c:pt>
                <c:pt idx="70">
                  <c:v>7014.8879872033804</c:v>
                </c:pt>
                <c:pt idx="71">
                  <c:v>8180.3370854254399</c:v>
                </c:pt>
                <c:pt idx="72">
                  <c:v>2633.1219813122498</c:v>
                </c:pt>
                <c:pt idx="73">
                  <c:v>7910.8869161406801</c:v>
                </c:pt>
                <c:pt idx="74">
                  <c:v>5709.9452959692799</c:v>
                </c:pt>
                <c:pt idx="75">
                  <c:v>1889.07358977933</c:v>
                </c:pt>
                <c:pt idx="76">
                  <c:v>5328.3759842977497</c:v>
                </c:pt>
                <c:pt idx="77">
                  <c:v>2483.7601775427902</c:v>
                </c:pt>
                <c:pt idx="78">
                  <c:v>1292.45841793775</c:v>
                </c:pt>
                <c:pt idx="79">
                  <c:v>7888.7232684270803</c:v>
                </c:pt>
                <c:pt idx="80">
                  <c:v>8651.67268298206</c:v>
                </c:pt>
                <c:pt idx="81">
                  <c:v>4384.4134000458598</c:v>
                </c:pt>
                <c:pt idx="82">
                  <c:v>2943.3818676094502</c:v>
                </c:pt>
                <c:pt idx="83">
                  <c:v>2411.7546321104901</c:v>
                </c:pt>
                <c:pt idx="84">
                  <c:v>2048.2900998487098</c:v>
                </c:pt>
                <c:pt idx="85">
                  <c:v>8684.6130592538502</c:v>
                </c:pt>
                <c:pt idx="86">
                  <c:v>1229.59102856498</c:v>
                </c:pt>
                <c:pt idx="87">
                  <c:v>5133.8467010866898</c:v>
                </c:pt>
                <c:pt idx="88">
                  <c:v>9444.7420330629793</c:v>
                </c:pt>
                <c:pt idx="89">
                  <c:v>5924.6825668532301</c:v>
                </c:pt>
                <c:pt idx="90">
                  <c:v>9592.6335702803099</c:v>
                </c:pt>
                <c:pt idx="91">
                  <c:v>1935.20679350759</c:v>
                </c:pt>
                <c:pt idx="92">
                  <c:v>2100.1297546259302</c:v>
                </c:pt>
                <c:pt idx="93">
                  <c:v>4531.4021336919004</c:v>
                </c:pt>
                <c:pt idx="94">
                  <c:v>7888.3565466618702</c:v>
                </c:pt>
                <c:pt idx="95">
                  <c:v>7386.3639440486604</c:v>
                </c:pt>
                <c:pt idx="96">
                  <c:v>7698.4247656321104</c:v>
                </c:pt>
                <c:pt idx="97">
                  <c:v>4370.9165799845296</c:v>
                </c:pt>
                <c:pt idx="98">
                  <c:v>8525.9525596835192</c:v>
                </c:pt>
                <c:pt idx="99">
                  <c:v>9185.1858291817007</c:v>
                </c:pt>
              </c:numCache>
            </c:numRef>
          </c:yVal>
          <c:smooth val="0"/>
          <c:extLst>
            <c:ext xmlns:c16="http://schemas.microsoft.com/office/drawing/2014/chart" uri="{C3380CC4-5D6E-409C-BE32-E72D297353CC}">
              <c16:uniqueId val="{00000001-B8B4-47AB-BBF9-0960FA5B3C6C}"/>
            </c:ext>
          </c:extLst>
        </c:ser>
        <c:dLbls>
          <c:showLegendKey val="0"/>
          <c:showVal val="0"/>
          <c:showCatName val="0"/>
          <c:showSerName val="0"/>
          <c:showPercent val="0"/>
          <c:showBubbleSize val="0"/>
        </c:dLbls>
        <c:axId val="283862128"/>
        <c:axId val="283863568"/>
      </c:scatterChart>
      <c:valAx>
        <c:axId val="283862128"/>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3863568"/>
        <c:crosses val="autoZero"/>
        <c:crossBetween val="midCat"/>
      </c:valAx>
      <c:valAx>
        <c:axId val="283863568"/>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386212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(Assignment).xlsx]PivotTables!Product by Revenue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AD5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PivotTables!$O$6</c:f>
              <c:strCache>
                <c:ptCount val="1"/>
                <c:pt idx="0">
                  <c:v>Total</c:v>
                </c:pt>
              </c:strCache>
            </c:strRef>
          </c:tx>
          <c:spPr>
            <a:solidFill>
              <a:srgbClr val="BAD5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PivotTables!$N$7:$N$10</c:f>
              <c:strCache>
                <c:ptCount val="3"/>
                <c:pt idx="0">
                  <c:v>skincare</c:v>
                </c:pt>
                <c:pt idx="1">
                  <c:v>haircare</c:v>
                </c:pt>
                <c:pt idx="2">
                  <c:v>cosmetics</c:v>
                </c:pt>
              </c:strCache>
            </c:strRef>
          </c:cat>
          <c:val>
            <c:numRef>
              <c:f>PivotTables!$O$7:$O$10</c:f>
              <c:numCache>
                <c:formatCode>_(* #,##0_);_(* \(#,##0\);_(* "-"??_);_(@_)</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2B00-4279-A189-F826477C228F}"/>
            </c:ext>
          </c:extLst>
        </c:ser>
        <c:dLbls>
          <c:showLegendKey val="0"/>
          <c:showVal val="0"/>
          <c:showCatName val="0"/>
          <c:showSerName val="0"/>
          <c:showPercent val="0"/>
          <c:showBubbleSize val="0"/>
        </c:dLbls>
        <c:gapWidth val="219"/>
        <c:overlap val="-27"/>
        <c:axId val="427692400"/>
        <c:axId val="427683760"/>
      </c:barChart>
      <c:catAx>
        <c:axId val="4276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27683760"/>
        <c:crosses val="autoZero"/>
        <c:auto val="1"/>
        <c:lblAlgn val="ctr"/>
        <c:lblOffset val="100"/>
        <c:noMultiLvlLbl val="0"/>
      </c:catAx>
      <c:valAx>
        <c:axId val="427683760"/>
        <c:scaling>
          <c:orientation val="minMax"/>
        </c:scaling>
        <c:delete val="1"/>
        <c:axPos val="l"/>
        <c:numFmt formatCode="_(* #,##0_);_(* \(#,##0\);_(* &quot;-&quot;??_);_(@_)" sourceLinked="1"/>
        <c:majorTickMark val="none"/>
        <c:minorTickMark val="none"/>
        <c:tickLblPos val="nextTo"/>
        <c:crossAx val="42769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(Assignment).xlsx]PivotTables!Inspection num</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FF00"/>
          </a:solidFill>
          <a:ln w="25400">
            <a:solidFill>
              <a:schemeClr val="lt1"/>
            </a:solidFill>
          </a:ln>
          <a:effectLst/>
          <a:sp3d contourW="25400">
            <a:contourClr>
              <a:schemeClr val="lt1"/>
            </a:contourClr>
          </a:sp3d>
        </c:spPr>
      </c:pivotFmt>
      <c:pivotFmt>
        <c:idx val="7"/>
        <c:spPr>
          <a:solidFill>
            <a:srgbClr val="FFC000"/>
          </a:solidFill>
          <a:ln w="25400">
            <a:solidFill>
              <a:schemeClr val="lt1"/>
            </a:solidFill>
          </a:ln>
          <a:effectLst/>
          <a:sp3d contourW="25400">
            <a:contourClr>
              <a:schemeClr val="lt1"/>
            </a:contourClr>
          </a:sp3d>
        </c:spPr>
      </c:pivotFmt>
      <c:pivotFmt>
        <c:idx val="8"/>
        <c:spPr>
          <a:solidFill>
            <a:srgbClr val="BAD52E"/>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PivotTables!$S$14</c:f>
              <c:strCache>
                <c:ptCount val="1"/>
                <c:pt idx="0">
                  <c:v>Total</c:v>
                </c:pt>
              </c:strCache>
            </c:strRef>
          </c:tx>
          <c:dPt>
            <c:idx val="0"/>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23BF-4BB2-9C49-714CA30CE343}"/>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23BF-4BB2-9C49-714CA30CE343}"/>
              </c:ext>
            </c:extLst>
          </c:dPt>
          <c:dPt>
            <c:idx val="2"/>
            <c:bubble3D val="0"/>
            <c:spPr>
              <a:solidFill>
                <a:srgbClr val="BAD52E"/>
              </a:solidFill>
              <a:ln w="25400">
                <a:solidFill>
                  <a:schemeClr val="lt1"/>
                </a:solidFill>
              </a:ln>
              <a:effectLst/>
              <a:sp3d contourW="25400">
                <a:contourClr>
                  <a:schemeClr val="lt1"/>
                </a:contourClr>
              </a:sp3d>
            </c:spPr>
            <c:extLst>
              <c:ext xmlns:c16="http://schemas.microsoft.com/office/drawing/2014/chart" uri="{C3380CC4-5D6E-409C-BE32-E72D297353CC}">
                <c16:uniqueId val="{00000005-23BF-4BB2-9C49-714CA30CE34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PivotTables!$R$15:$R$18</c:f>
              <c:strCache>
                <c:ptCount val="3"/>
                <c:pt idx="0">
                  <c:v>Fail</c:v>
                </c:pt>
                <c:pt idx="1">
                  <c:v>Pass</c:v>
                </c:pt>
                <c:pt idx="2">
                  <c:v>Pending</c:v>
                </c:pt>
              </c:strCache>
            </c:strRef>
          </c:cat>
          <c:val>
            <c:numRef>
              <c:f>PivotTables!$S$15:$S$18</c:f>
              <c:numCache>
                <c:formatCode>_(* #,##0_);_(* \(#,##0\);_(* "-"??_);_(@_)</c:formatCode>
                <c:ptCount val="3"/>
                <c:pt idx="0">
                  <c:v>36</c:v>
                </c:pt>
                <c:pt idx="1">
                  <c:v>23</c:v>
                </c:pt>
                <c:pt idx="2">
                  <c:v>41</c:v>
                </c:pt>
              </c:numCache>
            </c:numRef>
          </c:val>
          <c:extLst>
            <c:ext xmlns:c16="http://schemas.microsoft.com/office/drawing/2014/chart" uri="{C3380CC4-5D6E-409C-BE32-E72D297353CC}">
              <c16:uniqueId val="{00000006-23BF-4BB2-9C49-714CA30CE343}"/>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22176204690100013"/>
          <c:y val="0.88159876754536115"/>
          <c:w val="0.42303364040279279"/>
          <c:h val="8.7345331833520806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(Assignment).xlsx]PivotTables!Location</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AD5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PivotTables!$Y$12</c:f>
              <c:strCache>
                <c:ptCount val="1"/>
                <c:pt idx="0">
                  <c:v>Total</c:v>
                </c:pt>
              </c:strCache>
            </c:strRef>
          </c:tx>
          <c:spPr>
            <a:solidFill>
              <a:srgbClr val="BAD5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PivotTables!$X$13:$X$18</c:f>
              <c:strCache>
                <c:ptCount val="5"/>
                <c:pt idx="0">
                  <c:v>Delhi</c:v>
                </c:pt>
                <c:pt idx="1">
                  <c:v>Bangalore</c:v>
                </c:pt>
                <c:pt idx="2">
                  <c:v>Mumbai</c:v>
                </c:pt>
                <c:pt idx="3">
                  <c:v>Chennai</c:v>
                </c:pt>
                <c:pt idx="4">
                  <c:v>Kolkata</c:v>
                </c:pt>
              </c:strCache>
            </c:strRef>
          </c:cat>
          <c:val>
            <c:numRef>
              <c:f>PivotTables!$Y$13:$Y$18</c:f>
              <c:numCache>
                <c:formatCode>_(* #,##0_);_(* \(#,##0\);_(* "-"??_);_(@_)</c:formatCode>
                <c:ptCount val="5"/>
                <c:pt idx="0">
                  <c:v>219</c:v>
                </c:pt>
                <c:pt idx="1">
                  <c:v>293</c:v>
                </c:pt>
                <c:pt idx="2">
                  <c:v>337</c:v>
                </c:pt>
                <c:pt idx="3">
                  <c:v>373</c:v>
                </c:pt>
                <c:pt idx="4">
                  <c:v>486</c:v>
                </c:pt>
              </c:numCache>
            </c:numRef>
          </c:val>
          <c:extLst>
            <c:ext xmlns:c16="http://schemas.microsoft.com/office/drawing/2014/chart" uri="{C3380CC4-5D6E-409C-BE32-E72D297353CC}">
              <c16:uniqueId val="{00000000-852B-4BB8-B4E6-C353BD30D06F}"/>
            </c:ext>
          </c:extLst>
        </c:ser>
        <c:dLbls>
          <c:dLblPos val="outEnd"/>
          <c:showLegendKey val="0"/>
          <c:showVal val="1"/>
          <c:showCatName val="0"/>
          <c:showSerName val="0"/>
          <c:showPercent val="0"/>
          <c:showBubbleSize val="0"/>
        </c:dLbls>
        <c:gapWidth val="219"/>
        <c:overlap val="-27"/>
        <c:axId val="468907040"/>
        <c:axId val="468903200"/>
      </c:barChart>
      <c:catAx>
        <c:axId val="4689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68903200"/>
        <c:crosses val="autoZero"/>
        <c:auto val="1"/>
        <c:lblAlgn val="ctr"/>
        <c:lblOffset val="100"/>
        <c:noMultiLvlLbl val="0"/>
      </c:catAx>
      <c:valAx>
        <c:axId val="468903200"/>
        <c:scaling>
          <c:orientation val="minMax"/>
        </c:scaling>
        <c:delete val="1"/>
        <c:axPos val="l"/>
        <c:numFmt formatCode="_(* #,##0_);_(* \(#,##0\);_(* &quot;-&quot;??_);_(@_)" sourceLinked="1"/>
        <c:majorTickMark val="none"/>
        <c:minorTickMark val="none"/>
        <c:tickLblPos val="nextTo"/>
        <c:crossAx val="46890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(Assignment).xlsx]PivotTables!Supplieer </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AD5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PivotTables!$V$13</c:f>
              <c:strCache>
                <c:ptCount val="1"/>
                <c:pt idx="0">
                  <c:v>Total</c:v>
                </c:pt>
              </c:strCache>
            </c:strRef>
          </c:tx>
          <c:spPr>
            <a:solidFill>
              <a:srgbClr val="BAD5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PivotTables!$U$14:$U$19</c:f>
              <c:strCache>
                <c:ptCount val="5"/>
                <c:pt idx="0">
                  <c:v>Supplier 3</c:v>
                </c:pt>
                <c:pt idx="1">
                  <c:v>Supplier 4</c:v>
                </c:pt>
                <c:pt idx="2">
                  <c:v>Supplier 5</c:v>
                </c:pt>
                <c:pt idx="3">
                  <c:v>Supplier 1</c:v>
                </c:pt>
                <c:pt idx="4">
                  <c:v>Supplier 2</c:v>
                </c:pt>
              </c:strCache>
            </c:strRef>
          </c:cat>
          <c:val>
            <c:numRef>
              <c:f>PivotTables!$V$14:$V$19</c:f>
              <c:numCache>
                <c:formatCode>_(* #,##0_);_(* \(#,##0\);_(* "-"??_);_(@_)</c:formatCode>
                <c:ptCount val="5"/>
                <c:pt idx="0">
                  <c:v>36.986790461466988</c:v>
                </c:pt>
                <c:pt idx="1">
                  <c:v>42.073153210644037</c:v>
                </c:pt>
                <c:pt idx="2">
                  <c:v>47.97735019468557</c:v>
                </c:pt>
                <c:pt idx="3">
                  <c:v>48.698002215582711</c:v>
                </c:pt>
                <c:pt idx="4">
                  <c:v>51.980503191581285</c:v>
                </c:pt>
              </c:numCache>
            </c:numRef>
          </c:val>
          <c:extLst>
            <c:ext xmlns:c16="http://schemas.microsoft.com/office/drawing/2014/chart" uri="{C3380CC4-5D6E-409C-BE32-E72D297353CC}">
              <c16:uniqueId val="{00000000-7180-467A-A605-65F22C1C5930}"/>
            </c:ext>
          </c:extLst>
        </c:ser>
        <c:dLbls>
          <c:dLblPos val="outEnd"/>
          <c:showLegendKey val="0"/>
          <c:showVal val="1"/>
          <c:showCatName val="0"/>
          <c:showSerName val="0"/>
          <c:showPercent val="0"/>
          <c:showBubbleSize val="0"/>
        </c:dLbls>
        <c:gapWidth val="182"/>
        <c:axId val="221488432"/>
        <c:axId val="221492752"/>
      </c:barChart>
      <c:catAx>
        <c:axId val="22148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21492752"/>
        <c:crosses val="autoZero"/>
        <c:auto val="1"/>
        <c:lblAlgn val="ctr"/>
        <c:lblOffset val="100"/>
        <c:noMultiLvlLbl val="0"/>
      </c:catAx>
      <c:valAx>
        <c:axId val="221492752"/>
        <c:scaling>
          <c:orientation val="minMax"/>
        </c:scaling>
        <c:delete val="1"/>
        <c:axPos val="b"/>
        <c:numFmt formatCode="_(* #,##0_);_(* \(#,##0\);_(* &quot;-&quot;??_);_(@_)" sourceLinked="1"/>
        <c:majorTickMark val="none"/>
        <c:minorTickMark val="none"/>
        <c:tickLblPos val="nextTo"/>
        <c:crossAx val="22148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(Assignment).xlsx]PivotTables!Transport by cost</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AD5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PivotTables!$S$22</c:f>
              <c:strCache>
                <c:ptCount val="1"/>
                <c:pt idx="0">
                  <c:v>Total</c:v>
                </c:pt>
              </c:strCache>
            </c:strRef>
          </c:tx>
          <c:spPr>
            <a:solidFill>
              <a:srgbClr val="BAD5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PivotTables!$R$23:$R$27</c:f>
              <c:strCache>
                <c:ptCount val="4"/>
                <c:pt idx="0">
                  <c:v>Road</c:v>
                </c:pt>
                <c:pt idx="1">
                  <c:v>Air</c:v>
                </c:pt>
                <c:pt idx="2">
                  <c:v>Rail</c:v>
                </c:pt>
                <c:pt idx="3">
                  <c:v>Sea</c:v>
                </c:pt>
              </c:strCache>
            </c:strRef>
          </c:cat>
          <c:val>
            <c:numRef>
              <c:f>PivotTables!$S$23:$S$27</c:f>
              <c:numCache>
                <c:formatCode>_(* #,##0_);_(* \(#,##0\);_(* "-"??_);_(@_)</c:formatCode>
                <c:ptCount val="4"/>
                <c:pt idx="0">
                  <c:v>160.72134631132798</c:v>
                </c:pt>
                <c:pt idx="1">
                  <c:v>156.46382382094401</c:v>
                </c:pt>
                <c:pt idx="2">
                  <c:v>153.13474221087998</c:v>
                </c:pt>
                <c:pt idx="3">
                  <c:v>84.49499485880628</c:v>
                </c:pt>
              </c:numCache>
            </c:numRef>
          </c:val>
          <c:extLst>
            <c:ext xmlns:c16="http://schemas.microsoft.com/office/drawing/2014/chart" uri="{C3380CC4-5D6E-409C-BE32-E72D297353CC}">
              <c16:uniqueId val="{00000000-3D71-451D-B927-F534ED874970}"/>
            </c:ext>
          </c:extLst>
        </c:ser>
        <c:dLbls>
          <c:dLblPos val="outEnd"/>
          <c:showLegendKey val="0"/>
          <c:showVal val="1"/>
          <c:showCatName val="0"/>
          <c:showSerName val="0"/>
          <c:showPercent val="0"/>
          <c:showBubbleSize val="0"/>
        </c:dLbls>
        <c:gapWidth val="219"/>
        <c:overlap val="-27"/>
        <c:axId val="350417440"/>
        <c:axId val="350418400"/>
      </c:barChart>
      <c:catAx>
        <c:axId val="3504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0418400"/>
        <c:crosses val="autoZero"/>
        <c:auto val="1"/>
        <c:lblAlgn val="ctr"/>
        <c:lblOffset val="100"/>
        <c:noMultiLvlLbl val="0"/>
      </c:catAx>
      <c:valAx>
        <c:axId val="350418400"/>
        <c:scaling>
          <c:orientation val="minMax"/>
        </c:scaling>
        <c:delete val="1"/>
        <c:axPos val="l"/>
        <c:numFmt formatCode="_(* #,##0_);_(* \(#,##0\);_(* &quot;-&quot;??_);_(@_)" sourceLinked="1"/>
        <c:majorTickMark val="none"/>
        <c:minorTickMark val="none"/>
        <c:tickLblPos val="nextTo"/>
        <c:crossAx val="3504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AD5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PivotTables!$O$21</c:f>
              <c:strCache>
                <c:ptCount val="1"/>
                <c:pt idx="0">
                  <c:v>Total</c:v>
                </c:pt>
              </c:strCache>
            </c:strRef>
          </c:tx>
          <c:spPr>
            <a:solidFill>
              <a:srgbClr val="BAD5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PivotTables!$N$22:$N$25</c:f>
              <c:strCache>
                <c:ptCount val="3"/>
                <c:pt idx="0">
                  <c:v>Route C</c:v>
                </c:pt>
                <c:pt idx="1">
                  <c:v>Route A</c:v>
                </c:pt>
                <c:pt idx="2">
                  <c:v>Route B</c:v>
                </c:pt>
              </c:strCache>
            </c:strRef>
          </c:cat>
          <c:val>
            <c:numRef>
              <c:f>PivotTables!$O$22:$O$25</c:f>
              <c:numCache>
                <c:formatCode>_(* #,##0_);_(* \(#,##0\);_(* "-"??_);_(@_)</c:formatCode>
                <c:ptCount val="3"/>
                <c:pt idx="0">
                  <c:v>10009.419695859558</c:v>
                </c:pt>
                <c:pt idx="1">
                  <c:v>20875.774494353162</c:v>
                </c:pt>
                <c:pt idx="2">
                  <c:v>22039.384025601335</c:v>
                </c:pt>
              </c:numCache>
            </c:numRef>
          </c:val>
          <c:extLst>
            <c:ext xmlns:c16="http://schemas.microsoft.com/office/drawing/2014/chart" uri="{C3380CC4-5D6E-409C-BE32-E72D297353CC}">
              <c16:uniqueId val="{00000000-732E-427F-B4BB-86D3A61574B7}"/>
            </c:ext>
          </c:extLst>
        </c:ser>
        <c:dLbls>
          <c:dLblPos val="outEnd"/>
          <c:showLegendKey val="0"/>
          <c:showVal val="1"/>
          <c:showCatName val="0"/>
          <c:showSerName val="0"/>
          <c:showPercent val="0"/>
          <c:showBubbleSize val="0"/>
        </c:dLbls>
        <c:gapWidth val="182"/>
        <c:axId val="287281568"/>
        <c:axId val="287291168"/>
      </c:barChart>
      <c:catAx>
        <c:axId val="28728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7291168"/>
        <c:crosses val="autoZero"/>
        <c:auto val="1"/>
        <c:lblAlgn val="ctr"/>
        <c:lblOffset val="100"/>
        <c:noMultiLvlLbl val="0"/>
      </c:catAx>
      <c:valAx>
        <c:axId val="287291168"/>
        <c:scaling>
          <c:orientation val="minMax"/>
        </c:scaling>
        <c:delete val="1"/>
        <c:axPos val="b"/>
        <c:numFmt formatCode="_(* #,##0_);_(* \(#,##0\);_(* &quot;-&quot;??_);_(@_)" sourceLinked="1"/>
        <c:majorTickMark val="none"/>
        <c:minorTickMark val="none"/>
        <c:tickLblPos val="nextTo"/>
        <c:crossAx val="2872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(Assignment).xlsx]PivotTables!Carrier by sipping cost &amp; times</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AD52E"/>
          </a:solidFill>
          <a:ln>
            <a:no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1"/>
            </a:solidFill>
            <a:round/>
          </a:ln>
          <a:effectLst/>
        </c:spPr>
        <c:marker>
          <c:symbol val="circle"/>
          <c:size val="5"/>
          <c:spPr>
            <a:solidFill>
              <a:srgbClr val="FFC000"/>
            </a:solidFill>
            <a:ln w="9525">
              <a:solidFill>
                <a:schemeClr val="accent2"/>
              </a:solidFill>
            </a:ln>
            <a:effectLst/>
          </c:spPr>
        </c:marker>
        <c:dLbl>
          <c:idx val="0"/>
          <c:spPr>
            <a:solidFill>
              <a:srgbClr val="196B24">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BAD52E"/>
          </a:solidFill>
          <a:ln>
            <a:noFill/>
          </a:ln>
          <a:effectLst/>
        </c:spPr>
        <c:dLbl>
          <c:idx val="0"/>
          <c:layout>
            <c:manualLayout>
              <c:x val="-4.4444444444444467E-2"/>
              <c:y val="0.25311643336249634"/>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BAD52E"/>
          </a:solidFill>
          <a:ln>
            <a:noFill/>
          </a:ln>
          <a:effectLst/>
        </c:spPr>
        <c:dLbl>
          <c:idx val="0"/>
          <c:layout>
            <c:manualLayout>
              <c:x val="-5.0925337632079971E-17"/>
              <c:y val="0.24665573053368328"/>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rgbClr val="FFC000"/>
            </a:solidFill>
            <a:round/>
          </a:ln>
          <a:effectLst/>
        </c:spPr>
        <c:marker>
          <c:symbol val="circle"/>
          <c:size val="5"/>
          <c:spPr>
            <a:solidFill>
              <a:srgbClr val="FFC000"/>
            </a:solidFill>
            <a:ln w="9525">
              <a:solidFill>
                <a:schemeClr val="accent2"/>
              </a:solidFill>
            </a:ln>
            <a:effectLst/>
          </c:spPr>
        </c:marker>
        <c:dLbl>
          <c:idx val="0"/>
          <c:layout>
            <c:manualLayout>
              <c:x val="1.6666666666666566E-2"/>
              <c:y val="-9.2592592592592587E-2"/>
            </c:manualLayout>
          </c:layout>
          <c:spPr>
            <a:solidFill>
              <a:srgbClr val="196B24">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circle"/>
          <c:size val="5"/>
          <c:spPr>
            <a:solidFill>
              <a:srgbClr val="FFC000"/>
            </a:solidFill>
            <a:ln w="9525">
              <a:solidFill>
                <a:schemeClr val="accent2"/>
              </a:solidFill>
            </a:ln>
            <a:effectLst/>
          </c:spPr>
        </c:marker>
        <c:dLbl>
          <c:idx val="0"/>
          <c:layout>
            <c:manualLayout>
              <c:x val="2.4999999999999949E-2"/>
              <c:y val="-3.2407407407407406E-2"/>
            </c:manualLayout>
          </c:layout>
          <c:spPr>
            <a:solidFill>
              <a:srgbClr val="196B24">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rgbClr val="FFC000"/>
            </a:solidFill>
            <a:round/>
          </a:ln>
          <a:effectLst/>
        </c:spPr>
        <c:marker>
          <c:symbol val="circle"/>
          <c:size val="5"/>
          <c:spPr>
            <a:solidFill>
              <a:srgbClr val="FFC000"/>
            </a:solidFill>
            <a:ln w="9525">
              <a:solidFill>
                <a:schemeClr val="accent2"/>
              </a:solidFill>
            </a:ln>
            <a:effectLst/>
          </c:spPr>
        </c:marker>
        <c:dLbl>
          <c:idx val="0"/>
          <c:layout>
            <c:manualLayout>
              <c:x val="2.7777777777777779E-3"/>
              <c:y val="-7.870370370370372E-2"/>
            </c:manualLayout>
          </c:layout>
          <c:spPr>
            <a:solidFill>
              <a:srgbClr val="196B24">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BAD52E"/>
          </a:solidFill>
          <a:ln>
            <a:noFill/>
          </a:ln>
          <a:effectLst/>
        </c:spPr>
        <c:dLbl>
          <c:idx val="0"/>
          <c:layout>
            <c:manualLayout>
              <c:x val="2.3028209556706862E-2"/>
              <c:y val="0.33176458130053627"/>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PivotTables!$V$25</c:f>
              <c:strCache>
                <c:ptCount val="1"/>
                <c:pt idx="0">
                  <c:v>Sum of Shipping costs</c:v>
                </c:pt>
              </c:strCache>
            </c:strRef>
          </c:tx>
          <c:spPr>
            <a:solidFill>
              <a:srgbClr val="BAD52E"/>
            </a:solidFill>
            <a:ln>
              <a:noFill/>
            </a:ln>
            <a:effectLst/>
          </c:spPr>
          <c:invertIfNegative val="0"/>
          <c:dPt>
            <c:idx val="0"/>
            <c:invertIfNegative val="0"/>
            <c:bubble3D val="0"/>
            <c:extLst>
              <c:ext xmlns:c16="http://schemas.microsoft.com/office/drawing/2014/chart" uri="{C3380CC4-5D6E-409C-BE32-E72D297353CC}">
                <c16:uniqueId val="{00000002-8EC4-4BC1-861E-C1FB8D527312}"/>
              </c:ext>
            </c:extLst>
          </c:dPt>
          <c:dPt>
            <c:idx val="1"/>
            <c:invertIfNegative val="0"/>
            <c:bubble3D val="0"/>
            <c:extLst>
              <c:ext xmlns:c16="http://schemas.microsoft.com/office/drawing/2014/chart" uri="{C3380CC4-5D6E-409C-BE32-E72D297353CC}">
                <c16:uniqueId val="{00000003-8EC4-4BC1-861E-C1FB8D527312}"/>
              </c:ext>
            </c:extLst>
          </c:dPt>
          <c:dPt>
            <c:idx val="2"/>
            <c:invertIfNegative val="0"/>
            <c:bubble3D val="0"/>
            <c:extLst>
              <c:ext xmlns:c16="http://schemas.microsoft.com/office/drawing/2014/chart" uri="{C3380CC4-5D6E-409C-BE32-E72D297353CC}">
                <c16:uniqueId val="{00000007-8EC4-4BC1-861E-C1FB8D527312}"/>
              </c:ext>
            </c:extLst>
          </c:dPt>
          <c:dLbls>
            <c:dLbl>
              <c:idx val="0"/>
              <c:layout>
                <c:manualLayout>
                  <c:x val="-4.4444444444444467E-2"/>
                  <c:y val="0.25311643336249634"/>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C4-4BC1-861E-C1FB8D527312}"/>
                </c:ext>
              </c:extLst>
            </c:dLbl>
            <c:dLbl>
              <c:idx val="1"/>
              <c:layout>
                <c:manualLayout>
                  <c:x val="-5.0925337632079971E-17"/>
                  <c:y val="0.24665573053368328"/>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C4-4BC1-861E-C1FB8D527312}"/>
                </c:ext>
              </c:extLst>
            </c:dLbl>
            <c:dLbl>
              <c:idx val="2"/>
              <c:layout>
                <c:manualLayout>
                  <c:x val="2.3028209556706862E-2"/>
                  <c:y val="0.33176458130053627"/>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8EC4-4BC1-861E-C1FB8D527312}"/>
                </c:ext>
              </c:extLst>
            </c:dLbl>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PivotTables!$U$26:$U$29</c:f>
              <c:strCache>
                <c:ptCount val="3"/>
                <c:pt idx="0">
                  <c:v>Carrier B</c:v>
                </c:pt>
                <c:pt idx="1">
                  <c:v>Carrier C</c:v>
                </c:pt>
                <c:pt idx="2">
                  <c:v>Carrier A</c:v>
                </c:pt>
              </c:strCache>
            </c:strRef>
          </c:cat>
          <c:val>
            <c:numRef>
              <c:f>PivotTables!$V$26:$V$29</c:f>
              <c:numCache>
                <c:formatCode>_(* #,##0_);_(* \(#,##0\);_(* "-"??_);_(@_)</c:formatCode>
                <c:ptCount val="3"/>
                <c:pt idx="0">
                  <c:v>236.8976196639353</c:v>
                </c:pt>
                <c:pt idx="1">
                  <c:v>162.37945693178756</c:v>
                </c:pt>
                <c:pt idx="2">
                  <c:v>155.53783060623547</c:v>
                </c:pt>
              </c:numCache>
            </c:numRef>
          </c:val>
          <c:extLst>
            <c:ext xmlns:c16="http://schemas.microsoft.com/office/drawing/2014/chart" uri="{C3380CC4-5D6E-409C-BE32-E72D297353CC}">
              <c16:uniqueId val="{00000000-8EC4-4BC1-861E-C1FB8D527312}"/>
            </c:ext>
          </c:extLst>
        </c:ser>
        <c:dLbls>
          <c:showLegendKey val="0"/>
          <c:showVal val="0"/>
          <c:showCatName val="0"/>
          <c:showSerName val="0"/>
          <c:showPercent val="0"/>
          <c:showBubbleSize val="0"/>
        </c:dLbls>
        <c:gapWidth val="219"/>
        <c:overlap val="-27"/>
        <c:axId val="126975232"/>
        <c:axId val="126983872"/>
      </c:barChart>
      <c:lineChart>
        <c:grouping val="standard"/>
        <c:varyColors val="0"/>
        <c:ser>
          <c:idx val="1"/>
          <c:order val="1"/>
          <c:tx>
            <c:strRef>
              <c:f>PivotTables!$W$25</c:f>
              <c:strCache>
                <c:ptCount val="1"/>
                <c:pt idx="0">
                  <c:v>Sum of Shipping times</c:v>
                </c:pt>
              </c:strCache>
            </c:strRef>
          </c:tx>
          <c:spPr>
            <a:ln w="28575" cap="rnd">
              <a:solidFill>
                <a:schemeClr val="accent2"/>
              </a:solidFill>
              <a:round/>
            </a:ln>
            <a:effectLst/>
          </c:spPr>
          <c:marker>
            <c:symbol val="circle"/>
            <c:size val="5"/>
            <c:spPr>
              <a:solidFill>
                <a:srgbClr val="FFC000"/>
              </a:solidFill>
              <a:ln w="9525">
                <a:solidFill>
                  <a:schemeClr val="accent2"/>
                </a:solidFill>
              </a:ln>
              <a:effectLst/>
            </c:spPr>
          </c:marker>
          <c:dPt>
            <c:idx val="0"/>
            <c:marker>
              <c:symbol val="circle"/>
              <c:size val="5"/>
              <c:spPr>
                <a:solidFill>
                  <a:srgbClr val="FFC000"/>
                </a:solidFill>
                <a:ln w="9525">
                  <a:solidFill>
                    <a:schemeClr val="accent2"/>
                  </a:solidFill>
                </a:ln>
                <a:effectLst/>
              </c:spPr>
            </c:marker>
            <c:bubble3D val="0"/>
            <c:extLst>
              <c:ext xmlns:c16="http://schemas.microsoft.com/office/drawing/2014/chart" uri="{C3380CC4-5D6E-409C-BE32-E72D297353CC}">
                <c16:uniqueId val="{00000005-8EC4-4BC1-861E-C1FB8D527312}"/>
              </c:ext>
            </c:extLst>
          </c:dPt>
          <c:dPt>
            <c:idx val="1"/>
            <c:marker>
              <c:symbol val="circle"/>
              <c:size val="5"/>
              <c:spPr>
                <a:solidFill>
                  <a:srgbClr val="FFC000"/>
                </a:solidFill>
                <a:ln w="9525">
                  <a:solidFill>
                    <a:schemeClr val="accent2"/>
                  </a:solidFill>
                </a:ln>
                <a:effectLst/>
              </c:spPr>
            </c:marker>
            <c:bubble3D val="0"/>
            <c:spPr>
              <a:ln w="28575" cap="rnd">
                <a:solidFill>
                  <a:srgbClr val="FFC000"/>
                </a:solidFill>
                <a:round/>
              </a:ln>
              <a:effectLst/>
            </c:spPr>
            <c:extLst>
              <c:ext xmlns:c16="http://schemas.microsoft.com/office/drawing/2014/chart" uri="{C3380CC4-5D6E-409C-BE32-E72D297353CC}">
                <c16:uniqueId val="{00000004-8EC4-4BC1-861E-C1FB8D527312}"/>
              </c:ext>
            </c:extLst>
          </c:dPt>
          <c:dPt>
            <c:idx val="2"/>
            <c:marker>
              <c:symbol val="circle"/>
              <c:size val="5"/>
              <c:spPr>
                <a:solidFill>
                  <a:srgbClr val="FFC000"/>
                </a:solidFill>
                <a:ln w="9525">
                  <a:solidFill>
                    <a:schemeClr val="accent2"/>
                  </a:solidFill>
                </a:ln>
                <a:effectLst/>
              </c:spPr>
            </c:marker>
            <c:bubble3D val="0"/>
            <c:spPr>
              <a:ln w="28575" cap="rnd">
                <a:solidFill>
                  <a:srgbClr val="FFC000"/>
                </a:solidFill>
                <a:round/>
              </a:ln>
              <a:effectLst/>
            </c:spPr>
            <c:extLst>
              <c:ext xmlns:c16="http://schemas.microsoft.com/office/drawing/2014/chart" uri="{C3380CC4-5D6E-409C-BE32-E72D297353CC}">
                <c16:uniqueId val="{00000006-8EC4-4BC1-861E-C1FB8D527312}"/>
              </c:ext>
            </c:extLst>
          </c:dPt>
          <c:dLbls>
            <c:dLbl>
              <c:idx val="0"/>
              <c:layout>
                <c:manualLayout>
                  <c:x val="2.4999999999999949E-2"/>
                  <c:y val="-3.24074074074074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C4-4BC1-861E-C1FB8D527312}"/>
                </c:ext>
              </c:extLst>
            </c:dLbl>
            <c:dLbl>
              <c:idx val="1"/>
              <c:layout>
                <c:manualLayout>
                  <c:x val="1.6666666666666566E-2"/>
                  <c:y val="-9.259259259259258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C4-4BC1-861E-C1FB8D527312}"/>
                </c:ext>
              </c:extLst>
            </c:dLbl>
            <c:dLbl>
              <c:idx val="2"/>
              <c:layout>
                <c:manualLayout>
                  <c:x val="2.7777777777777779E-3"/>
                  <c:y val="-7.8703703703703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C4-4BC1-861E-C1FB8D527312}"/>
                </c:ext>
              </c:extLst>
            </c:dLbl>
            <c:spPr>
              <a:solidFill>
                <a:srgbClr val="196B24">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PivotTables!$U$26:$U$29</c:f>
              <c:strCache>
                <c:ptCount val="3"/>
                <c:pt idx="0">
                  <c:v>Carrier B</c:v>
                </c:pt>
                <c:pt idx="1">
                  <c:v>Carrier C</c:v>
                </c:pt>
                <c:pt idx="2">
                  <c:v>Carrier A</c:v>
                </c:pt>
              </c:strCache>
            </c:strRef>
          </c:cat>
          <c:val>
            <c:numRef>
              <c:f>PivotTables!$W$26:$W$29</c:f>
              <c:numCache>
                <c:formatCode>_(* #,##0_);_(* \(#,##0\);_(* "-"??_);_(@_)</c:formatCode>
                <c:ptCount val="3"/>
                <c:pt idx="0">
                  <c:v>228</c:v>
                </c:pt>
                <c:pt idx="1">
                  <c:v>175</c:v>
                </c:pt>
                <c:pt idx="2">
                  <c:v>172</c:v>
                </c:pt>
              </c:numCache>
            </c:numRef>
          </c:val>
          <c:smooth val="0"/>
          <c:extLst>
            <c:ext xmlns:c16="http://schemas.microsoft.com/office/drawing/2014/chart" uri="{C3380CC4-5D6E-409C-BE32-E72D297353CC}">
              <c16:uniqueId val="{00000001-8EC4-4BC1-861E-C1FB8D527312}"/>
            </c:ext>
          </c:extLst>
        </c:ser>
        <c:dLbls>
          <c:showLegendKey val="0"/>
          <c:showVal val="0"/>
          <c:showCatName val="0"/>
          <c:showSerName val="0"/>
          <c:showPercent val="0"/>
          <c:showBubbleSize val="0"/>
        </c:dLbls>
        <c:marker val="1"/>
        <c:smooth val="0"/>
        <c:axId val="126975232"/>
        <c:axId val="126983872"/>
      </c:lineChart>
      <c:catAx>
        <c:axId val="1269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6983872"/>
        <c:crosses val="autoZero"/>
        <c:auto val="1"/>
        <c:lblAlgn val="ctr"/>
        <c:lblOffset val="100"/>
        <c:noMultiLvlLbl val="0"/>
      </c:catAx>
      <c:valAx>
        <c:axId val="126983872"/>
        <c:scaling>
          <c:orientation val="minMax"/>
        </c:scaling>
        <c:delete val="1"/>
        <c:axPos val="l"/>
        <c:numFmt formatCode="_(* #,##0_);_(* \(#,##0\);_(* &quot;-&quot;??_);_(@_)" sourceLinked="1"/>
        <c:majorTickMark val="none"/>
        <c:minorTickMark val="none"/>
        <c:tickLblPos val="nextTo"/>
        <c:crossAx val="126975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Logistics &amp; Cost Analysis'!A1"/><Relationship Id="rId4" Type="http://schemas.openxmlformats.org/officeDocument/2006/relationships/hyperlink" Target="#'Supplier &amp; Quality'!A1"/></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hyperlink" Target="#'Logistics &amp; Cost Analysis'!A1"/><Relationship Id="rId4" Type="http://schemas.openxmlformats.org/officeDocument/2006/relationships/hyperlink" Target="#Overview!A1"/></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hyperlink" Target="#'Supplier &amp; Quality'!A1"/><Relationship Id="rId4"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xdr:from>
      <xdr:col>0</xdr:col>
      <xdr:colOff>15240</xdr:colOff>
      <xdr:row>5</xdr:row>
      <xdr:rowOff>30480</xdr:rowOff>
    </xdr:from>
    <xdr:to>
      <xdr:col>23</xdr:col>
      <xdr:colOff>106680</xdr:colOff>
      <xdr:row>35</xdr:row>
      <xdr:rowOff>22860</xdr:rowOff>
    </xdr:to>
    <xdr:sp macro="" textlink="">
      <xdr:nvSpPr>
        <xdr:cNvPr id="43" name="Rectangle: Rounded Corners 42">
          <a:extLst>
            <a:ext uri="{FF2B5EF4-FFF2-40B4-BE49-F238E27FC236}">
              <a16:creationId xmlns:a16="http://schemas.microsoft.com/office/drawing/2014/main" id="{4763973B-569F-E5DF-1689-6308FCE73B5E}"/>
            </a:ext>
          </a:extLst>
        </xdr:cNvPr>
        <xdr:cNvSpPr/>
      </xdr:nvSpPr>
      <xdr:spPr>
        <a:xfrm>
          <a:off x="15240" y="944880"/>
          <a:ext cx="14112240" cy="547878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518160</xdr:colOff>
      <xdr:row>5</xdr:row>
      <xdr:rowOff>53340</xdr:rowOff>
    </xdr:from>
    <xdr:to>
      <xdr:col>22</xdr:col>
      <xdr:colOff>533400</xdr:colOff>
      <xdr:row>34</xdr:row>
      <xdr:rowOff>30480</xdr:rowOff>
    </xdr:to>
    <xdr:sp macro="" textlink="">
      <xdr:nvSpPr>
        <xdr:cNvPr id="39" name="Rectangle: Rounded Corners 38">
          <a:extLst>
            <a:ext uri="{FF2B5EF4-FFF2-40B4-BE49-F238E27FC236}">
              <a16:creationId xmlns:a16="http://schemas.microsoft.com/office/drawing/2014/main" id="{B732BE17-4902-425F-AC3F-485DB0E203F8}"/>
            </a:ext>
          </a:extLst>
        </xdr:cNvPr>
        <xdr:cNvSpPr/>
      </xdr:nvSpPr>
      <xdr:spPr>
        <a:xfrm>
          <a:off x="2346960" y="967740"/>
          <a:ext cx="11597640" cy="528066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45720</xdr:colOff>
      <xdr:row>16</xdr:row>
      <xdr:rowOff>22860</xdr:rowOff>
    </xdr:from>
    <xdr:to>
      <xdr:col>8</xdr:col>
      <xdr:colOff>350520</xdr:colOff>
      <xdr:row>32</xdr:row>
      <xdr:rowOff>129540</xdr:rowOff>
    </xdr:to>
    <xdr:sp macro="" textlink="">
      <xdr:nvSpPr>
        <xdr:cNvPr id="9" name="Rectangle: Rounded Corners 8">
          <a:extLst>
            <a:ext uri="{FF2B5EF4-FFF2-40B4-BE49-F238E27FC236}">
              <a16:creationId xmlns:a16="http://schemas.microsoft.com/office/drawing/2014/main" id="{CA304A7C-999A-4E66-8884-DFB28AD2C1B0}"/>
            </a:ext>
          </a:extLst>
        </xdr:cNvPr>
        <xdr:cNvSpPr/>
      </xdr:nvSpPr>
      <xdr:spPr>
        <a:xfrm>
          <a:off x="2484120" y="2948940"/>
          <a:ext cx="2743200" cy="3032760"/>
        </a:xfrm>
        <a:prstGeom prst="roundRect">
          <a:avLst/>
        </a:prstGeom>
        <a:solidFill>
          <a:srgbClr val="0D26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30480</xdr:colOff>
      <xdr:row>16</xdr:row>
      <xdr:rowOff>53340</xdr:rowOff>
    </xdr:from>
    <xdr:to>
      <xdr:col>13</xdr:col>
      <xdr:colOff>525780</xdr:colOff>
      <xdr:row>32</xdr:row>
      <xdr:rowOff>152400</xdr:rowOff>
    </xdr:to>
    <xdr:sp macro="" textlink="">
      <xdr:nvSpPr>
        <xdr:cNvPr id="13" name="Rectangle: Rounded Corners 12">
          <a:extLst>
            <a:ext uri="{FF2B5EF4-FFF2-40B4-BE49-F238E27FC236}">
              <a16:creationId xmlns:a16="http://schemas.microsoft.com/office/drawing/2014/main" id="{68A543FD-0C45-46E0-8AD1-645ABFC26EA2}"/>
            </a:ext>
          </a:extLst>
        </xdr:cNvPr>
        <xdr:cNvSpPr/>
      </xdr:nvSpPr>
      <xdr:spPr>
        <a:xfrm>
          <a:off x="5516880" y="2979420"/>
          <a:ext cx="2933700" cy="302514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30480</xdr:colOff>
      <xdr:row>18</xdr:row>
      <xdr:rowOff>91440</xdr:rowOff>
    </xdr:from>
    <xdr:to>
      <xdr:col>13</xdr:col>
      <xdr:colOff>243840</xdr:colOff>
      <xdr:row>31</xdr:row>
      <xdr:rowOff>160020</xdr:rowOff>
    </xdr:to>
    <xdr:graphicFrame macro="">
      <xdr:nvGraphicFramePr>
        <xdr:cNvPr id="12" name="Chart 11">
          <a:extLst>
            <a:ext uri="{FF2B5EF4-FFF2-40B4-BE49-F238E27FC236}">
              <a16:creationId xmlns:a16="http://schemas.microsoft.com/office/drawing/2014/main" id="{1BAC4842-F7F1-4834-8523-73B461BC2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68580</xdr:colOff>
      <xdr:row>15</xdr:row>
      <xdr:rowOff>167640</xdr:rowOff>
    </xdr:from>
    <xdr:to>
      <xdr:col>22</xdr:col>
      <xdr:colOff>190500</xdr:colOff>
      <xdr:row>32</xdr:row>
      <xdr:rowOff>83820</xdr:rowOff>
    </xdr:to>
    <xdr:sp macro="" textlink="">
      <xdr:nvSpPr>
        <xdr:cNvPr id="14" name="Rectangle: Rounded Corners 13">
          <a:extLst>
            <a:ext uri="{FF2B5EF4-FFF2-40B4-BE49-F238E27FC236}">
              <a16:creationId xmlns:a16="http://schemas.microsoft.com/office/drawing/2014/main" id="{CA9370A0-E4A7-47BD-8CD9-DA74089D8D73}"/>
            </a:ext>
          </a:extLst>
        </xdr:cNvPr>
        <xdr:cNvSpPr/>
      </xdr:nvSpPr>
      <xdr:spPr>
        <a:xfrm>
          <a:off x="8602980" y="2910840"/>
          <a:ext cx="4998720" cy="302514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289560</xdr:colOff>
      <xdr:row>18</xdr:row>
      <xdr:rowOff>45720</xdr:rowOff>
    </xdr:from>
    <xdr:to>
      <xdr:col>22</xdr:col>
      <xdr:colOff>0</xdr:colOff>
      <xdr:row>30</xdr:row>
      <xdr:rowOff>167640</xdr:rowOff>
    </xdr:to>
    <xdr:graphicFrame macro="">
      <xdr:nvGraphicFramePr>
        <xdr:cNvPr id="16" name="Chart 15">
          <a:extLst>
            <a:ext uri="{FF2B5EF4-FFF2-40B4-BE49-F238E27FC236}">
              <a16:creationId xmlns:a16="http://schemas.microsoft.com/office/drawing/2014/main" id="{34AFB26B-302C-4EE1-8C90-1D72A1858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388620</xdr:colOff>
      <xdr:row>30</xdr:row>
      <xdr:rowOff>106680</xdr:rowOff>
    </xdr:from>
    <xdr:to>
      <xdr:col>19</xdr:col>
      <xdr:colOff>251460</xdr:colOff>
      <xdr:row>32</xdr:row>
      <xdr:rowOff>7620</xdr:rowOff>
    </xdr:to>
    <xdr:sp macro="" textlink="">
      <xdr:nvSpPr>
        <xdr:cNvPr id="17" name="TextBox 16">
          <a:extLst>
            <a:ext uri="{FF2B5EF4-FFF2-40B4-BE49-F238E27FC236}">
              <a16:creationId xmlns:a16="http://schemas.microsoft.com/office/drawing/2014/main" id="{FDC5D084-119B-8F90-F379-F173EBD5EE29}"/>
            </a:ext>
          </a:extLst>
        </xdr:cNvPr>
        <xdr:cNvSpPr txBox="1"/>
      </xdr:nvSpPr>
      <xdr:spPr>
        <a:xfrm>
          <a:off x="10142220" y="5593080"/>
          <a:ext cx="1691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Number of products sold</a:t>
          </a:r>
        </a:p>
      </xdr:txBody>
    </xdr:sp>
    <xdr:clientData/>
  </xdr:twoCellAnchor>
  <xdr:twoCellAnchor>
    <xdr:from>
      <xdr:col>14</xdr:col>
      <xdr:colOff>61275</xdr:colOff>
      <xdr:row>20</xdr:row>
      <xdr:rowOff>83819</xdr:rowOff>
    </xdr:from>
    <xdr:to>
      <xdr:col>14</xdr:col>
      <xdr:colOff>395712</xdr:colOff>
      <xdr:row>27</xdr:row>
      <xdr:rowOff>30478</xdr:rowOff>
    </xdr:to>
    <xdr:sp macro="" textlink="">
      <xdr:nvSpPr>
        <xdr:cNvPr id="3073" name="Text Box 1">
          <a:extLst>
            <a:ext uri="{FF2B5EF4-FFF2-40B4-BE49-F238E27FC236}">
              <a16:creationId xmlns:a16="http://schemas.microsoft.com/office/drawing/2014/main" id="{0CA72C44-24CE-E671-0E2F-71303C2FBEF8}"/>
            </a:ext>
          </a:extLst>
        </xdr:cNvPr>
        <xdr:cNvSpPr txBox="1">
          <a:spLocks noChangeArrowheads="1"/>
        </xdr:cNvSpPr>
      </xdr:nvSpPr>
      <xdr:spPr bwMode="auto">
        <a:xfrm flipV="1">
          <a:off x="8595675" y="3741419"/>
          <a:ext cx="334437" cy="1226819"/>
        </a:xfrm>
        <a:prstGeom prst="rect">
          <a:avLst/>
        </a:prstGeom>
        <a:noFill/>
        <a:ln w="9525">
          <a:noFill/>
          <a:miter lim="800000"/>
          <a:headEnd/>
          <a:tailEnd/>
        </a:ln>
      </xdr:spPr>
      <xdr:txBody>
        <a:bodyPr vertOverflow="clip" vert="vert270" wrap="square" lIns="36576" tIns="32004" rIns="0" bIns="0" anchor="ctr" upright="1"/>
        <a:lstStyle/>
        <a:p>
          <a:pPr algn="ctr" rtl="0">
            <a:defRPr sz="1000"/>
          </a:pPr>
          <a:r>
            <a:rPr lang="en-US" sz="1100" b="0" i="0" u="none" strike="noStrike" baseline="0">
              <a:solidFill>
                <a:schemeClr val="bg1"/>
              </a:solidFill>
              <a:latin typeface="Aptos Narrow"/>
            </a:rPr>
            <a:t>Total Revanue</a:t>
          </a:r>
        </a:p>
      </xdr:txBody>
    </xdr:sp>
    <xdr:clientData/>
  </xdr:twoCellAnchor>
  <xdr:twoCellAnchor>
    <xdr:from>
      <xdr:col>4</xdr:col>
      <xdr:colOff>441960</xdr:colOff>
      <xdr:row>16</xdr:row>
      <xdr:rowOff>91440</xdr:rowOff>
    </xdr:from>
    <xdr:to>
      <xdr:col>8</xdr:col>
      <xdr:colOff>22860</xdr:colOff>
      <xdr:row>17</xdr:row>
      <xdr:rowOff>175260</xdr:rowOff>
    </xdr:to>
    <xdr:sp macro="" textlink="">
      <xdr:nvSpPr>
        <xdr:cNvPr id="18" name="TextBox 17">
          <a:extLst>
            <a:ext uri="{FF2B5EF4-FFF2-40B4-BE49-F238E27FC236}">
              <a16:creationId xmlns:a16="http://schemas.microsoft.com/office/drawing/2014/main" id="{B9B272BD-1B78-4C17-AD26-4C80E75CAE19}"/>
            </a:ext>
          </a:extLst>
        </xdr:cNvPr>
        <xdr:cNvSpPr txBox="1"/>
      </xdr:nvSpPr>
      <xdr:spPr>
        <a:xfrm>
          <a:off x="2880360" y="3017520"/>
          <a:ext cx="2019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Revenue by Product Type</a:t>
          </a:r>
          <a:endParaRPr lang="en-US" sz="1400" b="1">
            <a:solidFill>
              <a:schemeClr val="bg1"/>
            </a:solidFill>
          </a:endParaRPr>
        </a:p>
      </xdr:txBody>
    </xdr:sp>
    <xdr:clientData/>
  </xdr:twoCellAnchor>
  <xdr:twoCellAnchor>
    <xdr:from>
      <xdr:col>9</xdr:col>
      <xdr:colOff>556260</xdr:colOff>
      <xdr:row>16</xdr:row>
      <xdr:rowOff>114300</xdr:rowOff>
    </xdr:from>
    <xdr:to>
      <xdr:col>12</xdr:col>
      <xdr:colOff>419100</xdr:colOff>
      <xdr:row>18</xdr:row>
      <xdr:rowOff>15240</xdr:rowOff>
    </xdr:to>
    <xdr:sp macro="" textlink="">
      <xdr:nvSpPr>
        <xdr:cNvPr id="19" name="TextBox 18">
          <a:extLst>
            <a:ext uri="{FF2B5EF4-FFF2-40B4-BE49-F238E27FC236}">
              <a16:creationId xmlns:a16="http://schemas.microsoft.com/office/drawing/2014/main" id="{BEC9A8AB-031F-45BE-A5F4-8525378EC11B}"/>
            </a:ext>
          </a:extLst>
        </xdr:cNvPr>
        <xdr:cNvSpPr txBox="1"/>
      </xdr:nvSpPr>
      <xdr:spPr>
        <a:xfrm>
          <a:off x="6042660" y="3040380"/>
          <a:ext cx="1691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Units Sold by SKU</a:t>
          </a:r>
          <a:endParaRPr lang="en-US" sz="1400" b="1">
            <a:solidFill>
              <a:schemeClr val="bg1"/>
            </a:solidFill>
          </a:endParaRPr>
        </a:p>
      </xdr:txBody>
    </xdr:sp>
    <xdr:clientData/>
  </xdr:twoCellAnchor>
  <xdr:twoCellAnchor>
    <xdr:from>
      <xdr:col>16</xdr:col>
      <xdr:colOff>281940</xdr:colOff>
      <xdr:row>16</xdr:row>
      <xdr:rowOff>30480</xdr:rowOff>
    </xdr:from>
    <xdr:to>
      <xdr:col>19</xdr:col>
      <xdr:colOff>144780</xdr:colOff>
      <xdr:row>17</xdr:row>
      <xdr:rowOff>114300</xdr:rowOff>
    </xdr:to>
    <xdr:sp macro="" textlink="">
      <xdr:nvSpPr>
        <xdr:cNvPr id="20" name="TextBox 19">
          <a:extLst>
            <a:ext uri="{FF2B5EF4-FFF2-40B4-BE49-F238E27FC236}">
              <a16:creationId xmlns:a16="http://schemas.microsoft.com/office/drawing/2014/main" id="{2297E078-B0B6-405C-890A-ABF9A9B06A66}"/>
            </a:ext>
          </a:extLst>
        </xdr:cNvPr>
        <xdr:cNvSpPr txBox="1"/>
      </xdr:nvSpPr>
      <xdr:spPr>
        <a:xfrm>
          <a:off x="10035540" y="2956560"/>
          <a:ext cx="1691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Revenue vs Units Sold</a:t>
          </a:r>
        </a:p>
      </xdr:txBody>
    </xdr:sp>
    <xdr:clientData/>
  </xdr:twoCellAnchor>
  <xdr:twoCellAnchor>
    <xdr:from>
      <xdr:col>19</xdr:col>
      <xdr:colOff>121959</xdr:colOff>
      <xdr:row>31</xdr:row>
      <xdr:rowOff>22346</xdr:rowOff>
    </xdr:from>
    <xdr:to>
      <xdr:col>19</xdr:col>
      <xdr:colOff>192385</xdr:colOff>
      <xdr:row>31</xdr:row>
      <xdr:rowOff>97375</xdr:rowOff>
    </xdr:to>
    <xdr:sp macro="" textlink="">
      <xdr:nvSpPr>
        <xdr:cNvPr id="22" name="Flowchart: Connector 21">
          <a:extLst>
            <a:ext uri="{FF2B5EF4-FFF2-40B4-BE49-F238E27FC236}">
              <a16:creationId xmlns:a16="http://schemas.microsoft.com/office/drawing/2014/main" id="{CF6A19DE-E8F8-40D8-97E4-7A1328C61A23}"/>
            </a:ext>
          </a:extLst>
        </xdr:cNvPr>
        <xdr:cNvSpPr/>
      </xdr:nvSpPr>
      <xdr:spPr>
        <a:xfrm rot="169011" flipH="1" flipV="1">
          <a:off x="11704359" y="5691626"/>
          <a:ext cx="70426" cy="75029"/>
        </a:xfrm>
        <a:prstGeom prst="flowChartConnector">
          <a:avLst/>
        </a:prstGeom>
        <a:solidFill>
          <a:srgbClr val="BAD5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243880</xdr:colOff>
      <xdr:row>20</xdr:row>
      <xdr:rowOff>182365</xdr:rowOff>
    </xdr:from>
    <xdr:to>
      <xdr:col>14</xdr:col>
      <xdr:colOff>314306</xdr:colOff>
      <xdr:row>21</xdr:row>
      <xdr:rowOff>74514</xdr:rowOff>
    </xdr:to>
    <xdr:sp macro="" textlink="">
      <xdr:nvSpPr>
        <xdr:cNvPr id="23" name="Flowchart: Connector 22">
          <a:extLst>
            <a:ext uri="{FF2B5EF4-FFF2-40B4-BE49-F238E27FC236}">
              <a16:creationId xmlns:a16="http://schemas.microsoft.com/office/drawing/2014/main" id="{71B5531B-0B61-4396-9328-FC75AD92EF1B}"/>
            </a:ext>
          </a:extLst>
        </xdr:cNvPr>
        <xdr:cNvSpPr/>
      </xdr:nvSpPr>
      <xdr:spPr>
        <a:xfrm flipH="1" flipV="1">
          <a:off x="8778280" y="3839965"/>
          <a:ext cx="70426" cy="75029"/>
        </a:xfrm>
        <a:prstGeom prst="flowChartConnector">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381000</xdr:colOff>
      <xdr:row>8</xdr:row>
      <xdr:rowOff>133350</xdr:rowOff>
    </xdr:from>
    <xdr:to>
      <xdr:col>8</xdr:col>
      <xdr:colOff>556260</xdr:colOff>
      <xdr:row>14</xdr:row>
      <xdr:rowOff>148590</xdr:rowOff>
    </xdr:to>
    <xdr:sp macro="" textlink="">
      <xdr:nvSpPr>
        <xdr:cNvPr id="32" name="Rectangle: Single Corner Snipped 31">
          <a:extLst>
            <a:ext uri="{FF2B5EF4-FFF2-40B4-BE49-F238E27FC236}">
              <a16:creationId xmlns:a16="http://schemas.microsoft.com/office/drawing/2014/main" id="{B1183AA5-842F-9231-2C0B-A60A391C8F5B}"/>
            </a:ext>
          </a:extLst>
        </xdr:cNvPr>
        <xdr:cNvSpPr/>
      </xdr:nvSpPr>
      <xdr:spPr>
        <a:xfrm>
          <a:off x="3429000" y="1596390"/>
          <a:ext cx="200406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541020</xdr:colOff>
      <xdr:row>12</xdr:row>
      <xdr:rowOff>3810</xdr:rowOff>
    </xdr:from>
    <xdr:to>
      <xdr:col>8</xdr:col>
      <xdr:colOff>220980</xdr:colOff>
      <xdr:row>13</xdr:row>
      <xdr:rowOff>118110</xdr:rowOff>
    </xdr:to>
    <xdr:sp macro="" textlink="PivotTables!D7">
      <xdr:nvSpPr>
        <xdr:cNvPr id="24" name="TextBox 23">
          <a:extLst>
            <a:ext uri="{FF2B5EF4-FFF2-40B4-BE49-F238E27FC236}">
              <a16:creationId xmlns:a16="http://schemas.microsoft.com/office/drawing/2014/main" id="{049FB978-C2AD-1EFA-3ABC-E40FB1324151}"/>
            </a:ext>
          </a:extLst>
        </xdr:cNvPr>
        <xdr:cNvSpPr txBox="1"/>
      </xdr:nvSpPr>
      <xdr:spPr>
        <a:xfrm>
          <a:off x="3589020" y="21983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82CAAF-DDBC-4E90-89A6-E1647A2538AD}" type="TxLink">
            <a:rPr lang="en-US" sz="1800" b="1" i="0" u="none" strike="noStrike">
              <a:solidFill>
                <a:schemeClr val="bg1"/>
              </a:solidFill>
              <a:latin typeface="Aptos Narrow"/>
              <a:ea typeface="+mn-ea"/>
              <a:cs typeface="+mn-cs"/>
            </a:rPr>
            <a:pPr marL="0" indent="0" algn="ctr"/>
            <a:t> $49 </a:t>
          </a:fld>
          <a:endParaRPr lang="en-US" sz="1800" b="1" i="0" u="none" strike="noStrike">
            <a:solidFill>
              <a:schemeClr val="bg1"/>
            </a:solidFill>
            <a:latin typeface="Aptos Narrow"/>
            <a:ea typeface="+mn-ea"/>
            <a:cs typeface="+mn-cs"/>
          </a:endParaRPr>
        </a:p>
      </xdr:txBody>
    </xdr:sp>
    <xdr:clientData/>
  </xdr:twoCellAnchor>
  <xdr:twoCellAnchor>
    <xdr:from>
      <xdr:col>5</xdr:col>
      <xdr:colOff>381000</xdr:colOff>
      <xdr:row>9</xdr:row>
      <xdr:rowOff>60960</xdr:rowOff>
    </xdr:from>
    <xdr:to>
      <xdr:col>8</xdr:col>
      <xdr:colOff>571500</xdr:colOff>
      <xdr:row>10</xdr:row>
      <xdr:rowOff>144780</xdr:rowOff>
    </xdr:to>
    <xdr:sp macro="" textlink="">
      <xdr:nvSpPr>
        <xdr:cNvPr id="29" name="TextBox 28">
          <a:extLst>
            <a:ext uri="{FF2B5EF4-FFF2-40B4-BE49-F238E27FC236}">
              <a16:creationId xmlns:a16="http://schemas.microsoft.com/office/drawing/2014/main" id="{7A14083A-0515-4D40-ADE1-2599458EA2F2}"/>
            </a:ext>
          </a:extLst>
        </xdr:cNvPr>
        <xdr:cNvSpPr txBox="1"/>
      </xdr:nvSpPr>
      <xdr:spPr>
        <a:xfrm>
          <a:off x="3429000" y="1706880"/>
          <a:ext cx="2019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Average of Price</a:t>
          </a:r>
          <a:endParaRPr lang="en-US" sz="1600" b="1">
            <a:solidFill>
              <a:schemeClr val="bg1"/>
            </a:solidFill>
          </a:endParaRPr>
        </a:p>
      </xdr:txBody>
    </xdr:sp>
    <xdr:clientData/>
  </xdr:twoCellAnchor>
  <xdr:twoCellAnchor>
    <xdr:from>
      <xdr:col>15</xdr:col>
      <xdr:colOff>525780</xdr:colOff>
      <xdr:row>8</xdr:row>
      <xdr:rowOff>133350</xdr:rowOff>
    </xdr:from>
    <xdr:to>
      <xdr:col>19</xdr:col>
      <xdr:colOff>91440</xdr:colOff>
      <xdr:row>14</xdr:row>
      <xdr:rowOff>148590</xdr:rowOff>
    </xdr:to>
    <xdr:sp macro="" textlink="">
      <xdr:nvSpPr>
        <xdr:cNvPr id="35" name="Rectangle: Single Corner Snipped 34">
          <a:extLst>
            <a:ext uri="{FF2B5EF4-FFF2-40B4-BE49-F238E27FC236}">
              <a16:creationId xmlns:a16="http://schemas.microsoft.com/office/drawing/2014/main" id="{01BB08E7-A1C5-488F-89A3-D9E434032CC4}"/>
            </a:ext>
          </a:extLst>
        </xdr:cNvPr>
        <xdr:cNvSpPr/>
      </xdr:nvSpPr>
      <xdr:spPr>
        <a:xfrm>
          <a:off x="9669780" y="1596390"/>
          <a:ext cx="200406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453390</xdr:colOff>
      <xdr:row>8</xdr:row>
      <xdr:rowOff>133350</xdr:rowOff>
    </xdr:from>
    <xdr:to>
      <xdr:col>14</xdr:col>
      <xdr:colOff>19050</xdr:colOff>
      <xdr:row>14</xdr:row>
      <xdr:rowOff>148590</xdr:rowOff>
    </xdr:to>
    <xdr:sp macro="" textlink="">
      <xdr:nvSpPr>
        <xdr:cNvPr id="36" name="Rectangle: Single Corner Snipped 35">
          <a:extLst>
            <a:ext uri="{FF2B5EF4-FFF2-40B4-BE49-F238E27FC236}">
              <a16:creationId xmlns:a16="http://schemas.microsoft.com/office/drawing/2014/main" id="{44891E8A-4753-43FB-AA89-A88813B661AA}"/>
            </a:ext>
          </a:extLst>
        </xdr:cNvPr>
        <xdr:cNvSpPr/>
      </xdr:nvSpPr>
      <xdr:spPr>
        <a:xfrm>
          <a:off x="6549390" y="1596390"/>
          <a:ext cx="200406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533400</xdr:colOff>
      <xdr:row>12</xdr:row>
      <xdr:rowOff>41910</xdr:rowOff>
    </xdr:from>
    <xdr:to>
      <xdr:col>13</xdr:col>
      <xdr:colOff>213360</xdr:colOff>
      <xdr:row>13</xdr:row>
      <xdr:rowOff>156210</xdr:rowOff>
    </xdr:to>
    <xdr:sp macro="" textlink="PivotTables!E7">
      <xdr:nvSpPr>
        <xdr:cNvPr id="25" name="TextBox 24">
          <a:extLst>
            <a:ext uri="{FF2B5EF4-FFF2-40B4-BE49-F238E27FC236}">
              <a16:creationId xmlns:a16="http://schemas.microsoft.com/office/drawing/2014/main" id="{998BA474-DD23-4299-BE24-0B6BBF979EC8}"/>
            </a:ext>
          </a:extLst>
        </xdr:cNvPr>
        <xdr:cNvSpPr txBox="1"/>
      </xdr:nvSpPr>
      <xdr:spPr>
        <a:xfrm>
          <a:off x="6629400" y="22364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883AC1-6FFD-48EF-9E0B-648D67331C31}" type="TxLink">
            <a:rPr lang="en-US" sz="1800" b="1" i="0" u="none" strike="noStrike">
              <a:solidFill>
                <a:schemeClr val="bg1"/>
              </a:solidFill>
              <a:latin typeface="Aptos Narrow"/>
            </a:rPr>
            <a:pPr algn="ctr"/>
            <a:t> $577,605 </a:t>
          </a:fld>
          <a:endParaRPr lang="en-US" sz="1800" b="1">
            <a:solidFill>
              <a:schemeClr val="bg1"/>
            </a:solidFill>
          </a:endParaRPr>
        </a:p>
      </xdr:txBody>
    </xdr:sp>
    <xdr:clientData/>
  </xdr:twoCellAnchor>
  <xdr:twoCellAnchor>
    <xdr:from>
      <xdr:col>16</xdr:col>
      <xdr:colOff>121920</xdr:colOff>
      <xdr:row>12</xdr:row>
      <xdr:rowOff>41910</xdr:rowOff>
    </xdr:from>
    <xdr:to>
      <xdr:col>18</xdr:col>
      <xdr:colOff>411480</xdr:colOff>
      <xdr:row>13</xdr:row>
      <xdr:rowOff>156210</xdr:rowOff>
    </xdr:to>
    <xdr:sp macro="" textlink="PivotTables!F7">
      <xdr:nvSpPr>
        <xdr:cNvPr id="26" name="TextBox 25">
          <a:extLst>
            <a:ext uri="{FF2B5EF4-FFF2-40B4-BE49-F238E27FC236}">
              <a16:creationId xmlns:a16="http://schemas.microsoft.com/office/drawing/2014/main" id="{6AEB5F27-8553-43FD-9F25-690F70180C89}"/>
            </a:ext>
          </a:extLst>
        </xdr:cNvPr>
        <xdr:cNvSpPr txBox="1"/>
      </xdr:nvSpPr>
      <xdr:spPr>
        <a:xfrm>
          <a:off x="9875520" y="22364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7FE065-60D1-4606-80E7-B2D5B7105B85}" type="TxLink">
            <a:rPr lang="en-US" sz="1800" b="1" i="0" u="none" strike="noStrike">
              <a:solidFill>
                <a:schemeClr val="bg1"/>
              </a:solidFill>
              <a:latin typeface="Aptos Narrow"/>
              <a:ea typeface="+mn-ea"/>
              <a:cs typeface="+mn-cs"/>
            </a:rPr>
            <a:pPr marL="0" indent="0" algn="ctr"/>
            <a:t> 46,099 </a:t>
          </a:fld>
          <a:endParaRPr lang="en-US" sz="1800" b="1" i="0" u="none" strike="noStrike">
            <a:solidFill>
              <a:schemeClr val="bg1"/>
            </a:solidFill>
            <a:latin typeface="Aptos Narrow"/>
            <a:ea typeface="+mn-ea"/>
            <a:cs typeface="+mn-cs"/>
          </a:endParaRPr>
        </a:p>
      </xdr:txBody>
    </xdr:sp>
    <xdr:clientData/>
  </xdr:twoCellAnchor>
  <xdr:twoCellAnchor>
    <xdr:from>
      <xdr:col>10</xdr:col>
      <xdr:colOff>327660</xdr:colOff>
      <xdr:row>9</xdr:row>
      <xdr:rowOff>76200</xdr:rowOff>
    </xdr:from>
    <xdr:to>
      <xdr:col>13</xdr:col>
      <xdr:colOff>518160</xdr:colOff>
      <xdr:row>10</xdr:row>
      <xdr:rowOff>160020</xdr:rowOff>
    </xdr:to>
    <xdr:sp macro="" textlink="">
      <xdr:nvSpPr>
        <xdr:cNvPr id="30" name="TextBox 29">
          <a:extLst>
            <a:ext uri="{FF2B5EF4-FFF2-40B4-BE49-F238E27FC236}">
              <a16:creationId xmlns:a16="http://schemas.microsoft.com/office/drawing/2014/main" id="{FFD8B73C-4623-499A-9F4F-F938A67D7578}"/>
            </a:ext>
          </a:extLst>
        </xdr:cNvPr>
        <xdr:cNvSpPr txBox="1"/>
      </xdr:nvSpPr>
      <xdr:spPr>
        <a:xfrm>
          <a:off x="6423660" y="1722120"/>
          <a:ext cx="2019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Total Revenue</a:t>
          </a:r>
          <a:endParaRPr lang="en-US" sz="1600" b="1">
            <a:solidFill>
              <a:schemeClr val="bg1"/>
            </a:solidFill>
          </a:endParaRPr>
        </a:p>
      </xdr:txBody>
    </xdr:sp>
    <xdr:clientData/>
  </xdr:twoCellAnchor>
  <xdr:twoCellAnchor>
    <xdr:from>
      <xdr:col>15</xdr:col>
      <xdr:colOff>434340</xdr:colOff>
      <xdr:row>9</xdr:row>
      <xdr:rowOff>91440</xdr:rowOff>
    </xdr:from>
    <xdr:to>
      <xdr:col>19</xdr:col>
      <xdr:colOff>15240</xdr:colOff>
      <xdr:row>10</xdr:row>
      <xdr:rowOff>175260</xdr:rowOff>
    </xdr:to>
    <xdr:sp macro="" textlink="">
      <xdr:nvSpPr>
        <xdr:cNvPr id="31" name="TextBox 30">
          <a:extLst>
            <a:ext uri="{FF2B5EF4-FFF2-40B4-BE49-F238E27FC236}">
              <a16:creationId xmlns:a16="http://schemas.microsoft.com/office/drawing/2014/main" id="{817805E1-870E-46D0-A005-6F030449C291}"/>
            </a:ext>
          </a:extLst>
        </xdr:cNvPr>
        <xdr:cNvSpPr txBox="1"/>
      </xdr:nvSpPr>
      <xdr:spPr>
        <a:xfrm>
          <a:off x="9578340" y="1737360"/>
          <a:ext cx="2019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Total</a:t>
          </a:r>
          <a:r>
            <a:rPr lang="en-US" sz="1600" baseline="0">
              <a:solidFill>
                <a:schemeClr val="bg1"/>
              </a:solidFill>
            </a:rPr>
            <a:t> products sold</a:t>
          </a:r>
          <a:endParaRPr lang="en-US" sz="1600" b="1">
            <a:solidFill>
              <a:schemeClr val="bg1"/>
            </a:solidFill>
          </a:endParaRPr>
        </a:p>
      </xdr:txBody>
    </xdr:sp>
    <xdr:clientData/>
  </xdr:twoCellAnchor>
  <xdr:twoCellAnchor>
    <xdr:from>
      <xdr:col>0</xdr:col>
      <xdr:colOff>114300</xdr:colOff>
      <xdr:row>6</xdr:row>
      <xdr:rowOff>15240</xdr:rowOff>
    </xdr:from>
    <xdr:to>
      <xdr:col>3</xdr:col>
      <xdr:colOff>289560</xdr:colOff>
      <xdr:row>11</xdr:row>
      <xdr:rowOff>53340</xdr:rowOff>
    </xdr:to>
    <xdr:sp macro="" textlink="">
      <xdr:nvSpPr>
        <xdr:cNvPr id="44" name="TextBox 43">
          <a:extLst>
            <a:ext uri="{FF2B5EF4-FFF2-40B4-BE49-F238E27FC236}">
              <a16:creationId xmlns:a16="http://schemas.microsoft.com/office/drawing/2014/main" id="{1FC76A71-8F24-4CC7-B1CF-AFC8BE53C194}"/>
            </a:ext>
          </a:extLst>
        </xdr:cNvPr>
        <xdr:cNvSpPr txBox="1"/>
      </xdr:nvSpPr>
      <xdr:spPr>
        <a:xfrm>
          <a:off x="114300" y="1112520"/>
          <a:ext cx="200406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rPr>
            <a:t>Supply</a:t>
          </a:r>
          <a:r>
            <a:rPr lang="en-US" sz="2400" baseline="0">
              <a:solidFill>
                <a:schemeClr val="bg1"/>
              </a:solidFill>
            </a:rPr>
            <a:t>  Chain </a:t>
          </a:r>
        </a:p>
        <a:p>
          <a:pPr algn="ctr"/>
          <a:r>
            <a:rPr lang="en-US" sz="2400" baseline="0">
              <a:solidFill>
                <a:schemeClr val="bg1"/>
              </a:solidFill>
            </a:rPr>
            <a:t>Report</a:t>
          </a:r>
          <a:endParaRPr lang="en-US" sz="2400" b="1">
            <a:solidFill>
              <a:schemeClr val="bg1"/>
            </a:solidFill>
          </a:endParaRPr>
        </a:p>
      </xdr:txBody>
    </xdr:sp>
    <xdr:clientData/>
  </xdr:twoCellAnchor>
  <xdr:twoCellAnchor>
    <xdr:from>
      <xdr:col>4</xdr:col>
      <xdr:colOff>297180</xdr:colOff>
      <xdr:row>5</xdr:row>
      <xdr:rowOff>99060</xdr:rowOff>
    </xdr:from>
    <xdr:to>
      <xdr:col>7</xdr:col>
      <xdr:colOff>0</xdr:colOff>
      <xdr:row>8</xdr:row>
      <xdr:rowOff>22860</xdr:rowOff>
    </xdr:to>
    <xdr:sp macro="" textlink="">
      <xdr:nvSpPr>
        <xdr:cNvPr id="45" name="TextBox 44">
          <a:extLst>
            <a:ext uri="{FF2B5EF4-FFF2-40B4-BE49-F238E27FC236}">
              <a16:creationId xmlns:a16="http://schemas.microsoft.com/office/drawing/2014/main" id="{70195332-20CE-4D86-85E4-E9381113DFE1}"/>
            </a:ext>
          </a:extLst>
        </xdr:cNvPr>
        <xdr:cNvSpPr txBox="1"/>
      </xdr:nvSpPr>
      <xdr:spPr>
        <a:xfrm>
          <a:off x="2735580" y="1013460"/>
          <a:ext cx="153162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aseline="0">
              <a:solidFill>
                <a:schemeClr val="bg1"/>
              </a:solidFill>
            </a:rPr>
            <a:t>Overview</a:t>
          </a:r>
        </a:p>
      </xdr:txBody>
    </xdr:sp>
    <xdr:clientData/>
  </xdr:twoCellAnchor>
  <xdr:twoCellAnchor>
    <xdr:from>
      <xdr:col>4</xdr:col>
      <xdr:colOff>0</xdr:colOff>
      <xdr:row>18</xdr:row>
      <xdr:rowOff>106680</xdr:rowOff>
    </xdr:from>
    <xdr:to>
      <xdr:col>8</xdr:col>
      <xdr:colOff>358140</xdr:colOff>
      <xdr:row>32</xdr:row>
      <xdr:rowOff>7620</xdr:rowOff>
    </xdr:to>
    <xdr:graphicFrame macro="">
      <xdr:nvGraphicFramePr>
        <xdr:cNvPr id="46" name="Chart 45">
          <a:extLst>
            <a:ext uri="{FF2B5EF4-FFF2-40B4-BE49-F238E27FC236}">
              <a16:creationId xmlns:a16="http://schemas.microsoft.com/office/drawing/2014/main" id="{907A1801-17C8-49E0-A72A-3875D9E9F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xdr:colOff>
      <xdr:row>16</xdr:row>
      <xdr:rowOff>60960</xdr:rowOff>
    </xdr:from>
    <xdr:to>
      <xdr:col>3</xdr:col>
      <xdr:colOff>403860</xdr:colOff>
      <xdr:row>20</xdr:row>
      <xdr:rowOff>68580</xdr:rowOff>
    </xdr:to>
    <xdr:sp macro="" textlink="">
      <xdr:nvSpPr>
        <xdr:cNvPr id="49" name="Rectangle: Rounded Corners 48">
          <a:hlinkClick xmlns:r="http://schemas.openxmlformats.org/officeDocument/2006/relationships" r:id="rId4"/>
          <a:extLst>
            <a:ext uri="{FF2B5EF4-FFF2-40B4-BE49-F238E27FC236}">
              <a16:creationId xmlns:a16="http://schemas.microsoft.com/office/drawing/2014/main" id="{EA464405-FA3C-4D72-A50F-FB544CC820C9}"/>
            </a:ext>
          </a:extLst>
        </xdr:cNvPr>
        <xdr:cNvSpPr/>
      </xdr:nvSpPr>
      <xdr:spPr>
        <a:xfrm>
          <a:off x="167640" y="2987040"/>
          <a:ext cx="2065020" cy="73914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304800</xdr:colOff>
      <xdr:row>26</xdr:row>
      <xdr:rowOff>53340</xdr:rowOff>
    </xdr:from>
    <xdr:to>
      <xdr:col>3</xdr:col>
      <xdr:colOff>304800</xdr:colOff>
      <xdr:row>32</xdr:row>
      <xdr:rowOff>106679</xdr:rowOff>
    </xdr:to>
    <mc:AlternateContent xmlns:mc="http://schemas.openxmlformats.org/markup-compatibility/2006" xmlns:a14="http://schemas.microsoft.com/office/drawing/2010/main">
      <mc:Choice Requires="a14">
        <xdr:graphicFrame macro="">
          <xdr:nvGraphicFramePr>
            <xdr:cNvPr id="51" name="Product type">
              <a:extLst>
                <a:ext uri="{FF2B5EF4-FFF2-40B4-BE49-F238E27FC236}">
                  <a16:creationId xmlns:a16="http://schemas.microsoft.com/office/drawing/2014/main" id="{77717BA6-DB7B-48D2-80EA-248ABA090B84}"/>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304800" y="4808220"/>
              <a:ext cx="182880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11</xdr:row>
      <xdr:rowOff>60960</xdr:rowOff>
    </xdr:from>
    <xdr:to>
      <xdr:col>3</xdr:col>
      <xdr:colOff>396240</xdr:colOff>
      <xdr:row>15</xdr:row>
      <xdr:rowOff>68580</xdr:rowOff>
    </xdr:to>
    <xdr:grpSp>
      <xdr:nvGrpSpPr>
        <xdr:cNvPr id="53" name="Group 52">
          <a:extLst>
            <a:ext uri="{FF2B5EF4-FFF2-40B4-BE49-F238E27FC236}">
              <a16:creationId xmlns:a16="http://schemas.microsoft.com/office/drawing/2014/main" id="{029334F4-B86A-6CBC-3A3A-F54F9D61B6A9}"/>
            </a:ext>
          </a:extLst>
        </xdr:cNvPr>
        <xdr:cNvGrpSpPr/>
      </xdr:nvGrpSpPr>
      <xdr:grpSpPr>
        <a:xfrm>
          <a:off x="160020" y="2072640"/>
          <a:ext cx="2065020" cy="739140"/>
          <a:chOff x="152400" y="1127760"/>
          <a:chExt cx="2065020" cy="739140"/>
        </a:xfrm>
      </xdr:grpSpPr>
      <xdr:sp macro="" textlink="">
        <xdr:nvSpPr>
          <xdr:cNvPr id="48" name="Rectangle: Rounded Corners 47">
            <a:extLst>
              <a:ext uri="{FF2B5EF4-FFF2-40B4-BE49-F238E27FC236}">
                <a16:creationId xmlns:a16="http://schemas.microsoft.com/office/drawing/2014/main" id="{FDC41E06-A3C8-4875-992F-BD563FE9347A}"/>
              </a:ext>
            </a:extLst>
          </xdr:cNvPr>
          <xdr:cNvSpPr/>
        </xdr:nvSpPr>
        <xdr:spPr>
          <a:xfrm>
            <a:off x="152400" y="1127760"/>
            <a:ext cx="2065020" cy="73914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2" name="TextBox 51">
            <a:extLst>
              <a:ext uri="{FF2B5EF4-FFF2-40B4-BE49-F238E27FC236}">
                <a16:creationId xmlns:a16="http://schemas.microsoft.com/office/drawing/2014/main" id="{4CED59B3-1421-4AE3-AB8C-8F8CAF9E55D9}"/>
              </a:ext>
            </a:extLst>
          </xdr:cNvPr>
          <xdr:cNvSpPr txBox="1"/>
        </xdr:nvSpPr>
        <xdr:spPr>
          <a:xfrm>
            <a:off x="190500" y="1158240"/>
            <a:ext cx="19735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aseline="0">
                <a:solidFill>
                  <a:schemeClr val="bg1"/>
                </a:solidFill>
              </a:rPr>
              <a:t>Overview</a:t>
            </a:r>
          </a:p>
        </xdr:txBody>
      </xdr:sp>
    </xdr:grpSp>
    <xdr:clientData/>
  </xdr:twoCellAnchor>
  <xdr:twoCellAnchor>
    <xdr:from>
      <xdr:col>0</xdr:col>
      <xdr:colOff>190500</xdr:colOff>
      <xdr:row>17</xdr:row>
      <xdr:rowOff>0</xdr:rowOff>
    </xdr:from>
    <xdr:to>
      <xdr:col>3</xdr:col>
      <xdr:colOff>373380</xdr:colOff>
      <xdr:row>19</xdr:row>
      <xdr:rowOff>106680</xdr:rowOff>
    </xdr:to>
    <xdr:sp macro="" textlink="">
      <xdr:nvSpPr>
        <xdr:cNvPr id="54" name="TextBox 53">
          <a:hlinkClick xmlns:r="http://schemas.openxmlformats.org/officeDocument/2006/relationships" r:id="rId4"/>
          <a:extLst>
            <a:ext uri="{FF2B5EF4-FFF2-40B4-BE49-F238E27FC236}">
              <a16:creationId xmlns:a16="http://schemas.microsoft.com/office/drawing/2014/main" id="{7234B24B-4D23-4630-AE4F-1A95D36D084B}"/>
            </a:ext>
          </a:extLst>
        </xdr:cNvPr>
        <xdr:cNvSpPr txBox="1"/>
      </xdr:nvSpPr>
      <xdr:spPr>
        <a:xfrm>
          <a:off x="190500" y="3108960"/>
          <a:ext cx="20116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Supplier &amp; Quality</a:t>
          </a:r>
          <a:endParaRPr lang="en-US" sz="2000" baseline="0">
            <a:solidFill>
              <a:schemeClr val="bg1"/>
            </a:solidFill>
          </a:endParaRPr>
        </a:p>
      </xdr:txBody>
    </xdr:sp>
    <xdr:clientData/>
  </xdr:twoCellAnchor>
  <xdr:twoCellAnchor>
    <xdr:from>
      <xdr:col>0</xdr:col>
      <xdr:colOff>167640</xdr:colOff>
      <xdr:row>21</xdr:row>
      <xdr:rowOff>76200</xdr:rowOff>
    </xdr:from>
    <xdr:to>
      <xdr:col>3</xdr:col>
      <xdr:colOff>403860</xdr:colOff>
      <xdr:row>25</xdr:row>
      <xdr:rowOff>83820</xdr:rowOff>
    </xdr:to>
    <xdr:grpSp>
      <xdr:nvGrpSpPr>
        <xdr:cNvPr id="56" name="Group 55">
          <a:extLst>
            <a:ext uri="{FF2B5EF4-FFF2-40B4-BE49-F238E27FC236}">
              <a16:creationId xmlns:a16="http://schemas.microsoft.com/office/drawing/2014/main" id="{ED77A0A0-3337-58A0-5CDB-9BD64230CFC4}"/>
            </a:ext>
          </a:extLst>
        </xdr:cNvPr>
        <xdr:cNvGrpSpPr/>
      </xdr:nvGrpSpPr>
      <xdr:grpSpPr>
        <a:xfrm>
          <a:off x="167640" y="3916680"/>
          <a:ext cx="2065020" cy="739140"/>
          <a:chOff x="160020" y="2971800"/>
          <a:chExt cx="2065020" cy="739140"/>
        </a:xfrm>
      </xdr:grpSpPr>
      <xdr:sp macro="" textlink="">
        <xdr:nvSpPr>
          <xdr:cNvPr id="50" name="Rectangle: Rounded Corners 49">
            <a:extLst>
              <a:ext uri="{FF2B5EF4-FFF2-40B4-BE49-F238E27FC236}">
                <a16:creationId xmlns:a16="http://schemas.microsoft.com/office/drawing/2014/main" id="{E295CE21-1135-4A59-B1A7-65BD44CC1100}"/>
              </a:ext>
            </a:extLst>
          </xdr:cNvPr>
          <xdr:cNvSpPr/>
        </xdr:nvSpPr>
        <xdr:spPr>
          <a:xfrm>
            <a:off x="160020" y="2971800"/>
            <a:ext cx="2065020" cy="73914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5" name="TextBox 54">
            <a:hlinkClick xmlns:r="http://schemas.openxmlformats.org/officeDocument/2006/relationships" r:id="rId5"/>
            <a:extLst>
              <a:ext uri="{FF2B5EF4-FFF2-40B4-BE49-F238E27FC236}">
                <a16:creationId xmlns:a16="http://schemas.microsoft.com/office/drawing/2014/main" id="{6BAC0B18-27FC-446A-897A-7BE1166D73AB}"/>
              </a:ext>
            </a:extLst>
          </xdr:cNvPr>
          <xdr:cNvSpPr txBox="1"/>
        </xdr:nvSpPr>
        <xdr:spPr>
          <a:xfrm>
            <a:off x="160020" y="2971800"/>
            <a:ext cx="187452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Logistics &amp; Cost Analysis</a:t>
            </a:r>
            <a:endParaRPr lang="en-US" sz="1800" baseline="0">
              <a:solidFill>
                <a:schemeClr val="bg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5</xdr:row>
      <xdr:rowOff>38100</xdr:rowOff>
    </xdr:from>
    <xdr:to>
      <xdr:col>23</xdr:col>
      <xdr:colOff>114300</xdr:colOff>
      <xdr:row>35</xdr:row>
      <xdr:rowOff>30480</xdr:rowOff>
    </xdr:to>
    <xdr:sp macro="" textlink="">
      <xdr:nvSpPr>
        <xdr:cNvPr id="2" name="Rectangle: Rounded Corners 1">
          <a:extLst>
            <a:ext uri="{FF2B5EF4-FFF2-40B4-BE49-F238E27FC236}">
              <a16:creationId xmlns:a16="http://schemas.microsoft.com/office/drawing/2014/main" id="{6DF90936-F5D6-4BEC-9379-FD57697C9D8E}"/>
            </a:ext>
          </a:extLst>
        </xdr:cNvPr>
        <xdr:cNvSpPr/>
      </xdr:nvSpPr>
      <xdr:spPr>
        <a:xfrm>
          <a:off x="22860" y="952500"/>
          <a:ext cx="14112240" cy="547878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548640</xdr:colOff>
      <xdr:row>5</xdr:row>
      <xdr:rowOff>53340</xdr:rowOff>
    </xdr:from>
    <xdr:to>
      <xdr:col>22</xdr:col>
      <xdr:colOff>563880</xdr:colOff>
      <xdr:row>34</xdr:row>
      <xdr:rowOff>30480</xdr:rowOff>
    </xdr:to>
    <xdr:sp macro="" textlink="">
      <xdr:nvSpPr>
        <xdr:cNvPr id="3" name="Rectangle: Rounded Corners 2">
          <a:extLst>
            <a:ext uri="{FF2B5EF4-FFF2-40B4-BE49-F238E27FC236}">
              <a16:creationId xmlns:a16="http://schemas.microsoft.com/office/drawing/2014/main" id="{1132124D-5A21-4CFD-85DA-D4DB48D519FF}"/>
            </a:ext>
          </a:extLst>
        </xdr:cNvPr>
        <xdr:cNvSpPr/>
      </xdr:nvSpPr>
      <xdr:spPr>
        <a:xfrm>
          <a:off x="2377440" y="967740"/>
          <a:ext cx="11597640" cy="528066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53340</xdr:colOff>
      <xdr:row>16</xdr:row>
      <xdr:rowOff>22860</xdr:rowOff>
    </xdr:from>
    <xdr:to>
      <xdr:col>8</xdr:col>
      <xdr:colOff>518160</xdr:colOff>
      <xdr:row>32</xdr:row>
      <xdr:rowOff>129540</xdr:rowOff>
    </xdr:to>
    <xdr:sp macro="" textlink="">
      <xdr:nvSpPr>
        <xdr:cNvPr id="4" name="Rectangle: Rounded Corners 3">
          <a:extLst>
            <a:ext uri="{FF2B5EF4-FFF2-40B4-BE49-F238E27FC236}">
              <a16:creationId xmlns:a16="http://schemas.microsoft.com/office/drawing/2014/main" id="{0F8F5CFA-F3E7-4E84-A621-D7AAA3D851F5}"/>
            </a:ext>
          </a:extLst>
        </xdr:cNvPr>
        <xdr:cNvSpPr/>
      </xdr:nvSpPr>
      <xdr:spPr>
        <a:xfrm>
          <a:off x="2491740" y="2948940"/>
          <a:ext cx="2903220" cy="3032760"/>
        </a:xfrm>
        <a:prstGeom prst="roundRect">
          <a:avLst/>
        </a:prstGeom>
        <a:solidFill>
          <a:srgbClr val="0D26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38100</xdr:colOff>
      <xdr:row>16</xdr:row>
      <xdr:rowOff>53340</xdr:rowOff>
    </xdr:from>
    <xdr:to>
      <xdr:col>15</xdr:col>
      <xdr:colOff>129540</xdr:colOff>
      <xdr:row>32</xdr:row>
      <xdr:rowOff>152400</xdr:rowOff>
    </xdr:to>
    <xdr:sp macro="" textlink="">
      <xdr:nvSpPr>
        <xdr:cNvPr id="6" name="Rectangle: Rounded Corners 5">
          <a:extLst>
            <a:ext uri="{FF2B5EF4-FFF2-40B4-BE49-F238E27FC236}">
              <a16:creationId xmlns:a16="http://schemas.microsoft.com/office/drawing/2014/main" id="{177C5F31-C4CA-488F-A05E-0502F253A657}"/>
            </a:ext>
          </a:extLst>
        </xdr:cNvPr>
        <xdr:cNvSpPr/>
      </xdr:nvSpPr>
      <xdr:spPr>
        <a:xfrm>
          <a:off x="5524500" y="2979420"/>
          <a:ext cx="3749040" cy="302514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304800</xdr:colOff>
      <xdr:row>15</xdr:row>
      <xdr:rowOff>167640</xdr:rowOff>
    </xdr:from>
    <xdr:to>
      <xdr:col>22</xdr:col>
      <xdr:colOff>419100</xdr:colOff>
      <xdr:row>32</xdr:row>
      <xdr:rowOff>83820</xdr:rowOff>
    </xdr:to>
    <xdr:sp macro="" textlink="">
      <xdr:nvSpPr>
        <xdr:cNvPr id="8" name="Rectangle: Rounded Corners 7">
          <a:extLst>
            <a:ext uri="{FF2B5EF4-FFF2-40B4-BE49-F238E27FC236}">
              <a16:creationId xmlns:a16="http://schemas.microsoft.com/office/drawing/2014/main" id="{D4A9A7C9-1698-4142-A319-77701ED5C1A5}"/>
            </a:ext>
          </a:extLst>
        </xdr:cNvPr>
        <xdr:cNvSpPr/>
      </xdr:nvSpPr>
      <xdr:spPr>
        <a:xfrm>
          <a:off x="9448800" y="2910840"/>
          <a:ext cx="4381500" cy="302514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198120</xdr:colOff>
      <xdr:row>16</xdr:row>
      <xdr:rowOff>99060</xdr:rowOff>
    </xdr:from>
    <xdr:to>
      <xdr:col>13</xdr:col>
      <xdr:colOff>60960</xdr:colOff>
      <xdr:row>18</xdr:row>
      <xdr:rowOff>0</xdr:rowOff>
    </xdr:to>
    <xdr:sp macro="" textlink="">
      <xdr:nvSpPr>
        <xdr:cNvPr id="13" name="TextBox 12">
          <a:extLst>
            <a:ext uri="{FF2B5EF4-FFF2-40B4-BE49-F238E27FC236}">
              <a16:creationId xmlns:a16="http://schemas.microsoft.com/office/drawing/2014/main" id="{B7730EFD-BEAE-4CF2-8A25-82C5EC9E7EEA}"/>
            </a:ext>
          </a:extLst>
        </xdr:cNvPr>
        <xdr:cNvSpPr txBox="1"/>
      </xdr:nvSpPr>
      <xdr:spPr>
        <a:xfrm>
          <a:off x="6294120" y="3025140"/>
          <a:ext cx="1691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Inspection Results</a:t>
          </a:r>
        </a:p>
      </xdr:txBody>
    </xdr:sp>
    <xdr:clientData/>
  </xdr:twoCellAnchor>
  <xdr:twoCellAnchor>
    <xdr:from>
      <xdr:col>17</xdr:col>
      <xdr:colOff>76200</xdr:colOff>
      <xdr:row>16</xdr:row>
      <xdr:rowOff>30480</xdr:rowOff>
    </xdr:from>
    <xdr:to>
      <xdr:col>20</xdr:col>
      <xdr:colOff>198120</xdr:colOff>
      <xdr:row>17</xdr:row>
      <xdr:rowOff>114300</xdr:rowOff>
    </xdr:to>
    <xdr:sp macro="" textlink="">
      <xdr:nvSpPr>
        <xdr:cNvPr id="14" name="TextBox 13">
          <a:extLst>
            <a:ext uri="{FF2B5EF4-FFF2-40B4-BE49-F238E27FC236}">
              <a16:creationId xmlns:a16="http://schemas.microsoft.com/office/drawing/2014/main" id="{CDCA71C5-2435-4981-A9CC-6F2C648DE04B}"/>
            </a:ext>
          </a:extLst>
        </xdr:cNvPr>
        <xdr:cNvSpPr txBox="1"/>
      </xdr:nvSpPr>
      <xdr:spPr>
        <a:xfrm>
          <a:off x="10439400" y="2956560"/>
          <a:ext cx="19507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Defect Rate by Supplier</a:t>
          </a:r>
        </a:p>
      </xdr:txBody>
    </xdr:sp>
    <xdr:clientData/>
  </xdr:twoCellAnchor>
  <xdr:twoCellAnchor>
    <xdr:from>
      <xdr:col>5</xdr:col>
      <xdr:colOff>388620</xdr:colOff>
      <xdr:row>8</xdr:row>
      <xdr:rowOff>133350</xdr:rowOff>
    </xdr:from>
    <xdr:to>
      <xdr:col>8</xdr:col>
      <xdr:colOff>563880</xdr:colOff>
      <xdr:row>14</xdr:row>
      <xdr:rowOff>148590</xdr:rowOff>
    </xdr:to>
    <xdr:sp macro="" textlink="">
      <xdr:nvSpPr>
        <xdr:cNvPr id="17" name="Rectangle: Single Corner Snipped 16">
          <a:extLst>
            <a:ext uri="{FF2B5EF4-FFF2-40B4-BE49-F238E27FC236}">
              <a16:creationId xmlns:a16="http://schemas.microsoft.com/office/drawing/2014/main" id="{EA1D44AE-45D5-4451-A2DC-1938FE94ED86}"/>
            </a:ext>
          </a:extLst>
        </xdr:cNvPr>
        <xdr:cNvSpPr/>
      </xdr:nvSpPr>
      <xdr:spPr>
        <a:xfrm>
          <a:off x="3436620" y="1596390"/>
          <a:ext cx="200406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548640</xdr:colOff>
      <xdr:row>12</xdr:row>
      <xdr:rowOff>3810</xdr:rowOff>
    </xdr:from>
    <xdr:to>
      <xdr:col>8</xdr:col>
      <xdr:colOff>228600</xdr:colOff>
      <xdr:row>13</xdr:row>
      <xdr:rowOff>118110</xdr:rowOff>
    </xdr:to>
    <xdr:sp macro="" textlink="PivotTables!S8">
      <xdr:nvSpPr>
        <xdr:cNvPr id="18" name="TextBox 17">
          <a:extLst>
            <a:ext uri="{FF2B5EF4-FFF2-40B4-BE49-F238E27FC236}">
              <a16:creationId xmlns:a16="http://schemas.microsoft.com/office/drawing/2014/main" id="{B03D1F8B-1724-4260-B11E-855E909A4B7F}"/>
            </a:ext>
          </a:extLst>
        </xdr:cNvPr>
        <xdr:cNvSpPr txBox="1"/>
      </xdr:nvSpPr>
      <xdr:spPr>
        <a:xfrm>
          <a:off x="3596640" y="21983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DB6A3F-5223-4C76-A044-AC3FA3838351}" type="TxLink">
            <a:rPr lang="en-US" sz="1800" b="1" i="0" u="none" strike="noStrike">
              <a:solidFill>
                <a:schemeClr val="bg1"/>
              </a:solidFill>
              <a:latin typeface="Aptos Narrow"/>
              <a:ea typeface="+mn-ea"/>
              <a:cs typeface="+mn-cs"/>
            </a:rPr>
            <a:pPr marL="0" indent="0" algn="ctr"/>
            <a:t> 16 </a:t>
          </a:fld>
          <a:endParaRPr lang="en-US" sz="1800" b="1" i="0" u="none" strike="noStrike">
            <a:solidFill>
              <a:schemeClr val="bg1"/>
            </a:solidFill>
            <a:latin typeface="Aptos Narrow"/>
            <a:ea typeface="+mn-ea"/>
            <a:cs typeface="+mn-cs"/>
          </a:endParaRPr>
        </a:p>
      </xdr:txBody>
    </xdr:sp>
    <xdr:clientData/>
  </xdr:twoCellAnchor>
  <xdr:twoCellAnchor>
    <xdr:from>
      <xdr:col>5</xdr:col>
      <xdr:colOff>411480</xdr:colOff>
      <xdr:row>9</xdr:row>
      <xdr:rowOff>60960</xdr:rowOff>
    </xdr:from>
    <xdr:to>
      <xdr:col>9</xdr:col>
      <xdr:colOff>0</xdr:colOff>
      <xdr:row>10</xdr:row>
      <xdr:rowOff>144780</xdr:rowOff>
    </xdr:to>
    <xdr:sp macro="" textlink="">
      <xdr:nvSpPr>
        <xdr:cNvPr id="19" name="TextBox 18">
          <a:extLst>
            <a:ext uri="{FF2B5EF4-FFF2-40B4-BE49-F238E27FC236}">
              <a16:creationId xmlns:a16="http://schemas.microsoft.com/office/drawing/2014/main" id="{B73D0D10-677A-4055-BD3F-5EF354490214}"/>
            </a:ext>
          </a:extLst>
        </xdr:cNvPr>
        <xdr:cNvSpPr txBox="1"/>
      </xdr:nvSpPr>
      <xdr:spPr>
        <a:xfrm>
          <a:off x="3459480" y="1706880"/>
          <a:ext cx="2026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Average of Lead times</a:t>
          </a:r>
          <a:endParaRPr lang="en-US" sz="1600" b="1">
            <a:solidFill>
              <a:schemeClr val="bg1"/>
            </a:solidFill>
          </a:endParaRPr>
        </a:p>
      </xdr:txBody>
    </xdr:sp>
    <xdr:clientData/>
  </xdr:twoCellAnchor>
  <xdr:twoCellAnchor>
    <xdr:from>
      <xdr:col>15</xdr:col>
      <xdr:colOff>533400</xdr:colOff>
      <xdr:row>8</xdr:row>
      <xdr:rowOff>133350</xdr:rowOff>
    </xdr:from>
    <xdr:to>
      <xdr:col>19</xdr:col>
      <xdr:colOff>99060</xdr:colOff>
      <xdr:row>14</xdr:row>
      <xdr:rowOff>148590</xdr:rowOff>
    </xdr:to>
    <xdr:sp macro="" textlink="">
      <xdr:nvSpPr>
        <xdr:cNvPr id="20" name="Rectangle: Single Corner Snipped 19">
          <a:extLst>
            <a:ext uri="{FF2B5EF4-FFF2-40B4-BE49-F238E27FC236}">
              <a16:creationId xmlns:a16="http://schemas.microsoft.com/office/drawing/2014/main" id="{6EE4D27F-A51B-4419-B034-7907037D7925}"/>
            </a:ext>
          </a:extLst>
        </xdr:cNvPr>
        <xdr:cNvSpPr/>
      </xdr:nvSpPr>
      <xdr:spPr>
        <a:xfrm>
          <a:off x="9677400" y="1596390"/>
          <a:ext cx="200406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461010</xdr:colOff>
      <xdr:row>8</xdr:row>
      <xdr:rowOff>133350</xdr:rowOff>
    </xdr:from>
    <xdr:to>
      <xdr:col>14</xdr:col>
      <xdr:colOff>26670</xdr:colOff>
      <xdr:row>14</xdr:row>
      <xdr:rowOff>148590</xdr:rowOff>
    </xdr:to>
    <xdr:sp macro="" textlink="">
      <xdr:nvSpPr>
        <xdr:cNvPr id="21" name="Rectangle: Single Corner Snipped 20">
          <a:extLst>
            <a:ext uri="{FF2B5EF4-FFF2-40B4-BE49-F238E27FC236}">
              <a16:creationId xmlns:a16="http://schemas.microsoft.com/office/drawing/2014/main" id="{9896F131-7F20-4EB8-B424-CE939462E556}"/>
            </a:ext>
          </a:extLst>
        </xdr:cNvPr>
        <xdr:cNvSpPr/>
      </xdr:nvSpPr>
      <xdr:spPr>
        <a:xfrm>
          <a:off x="6557010" y="1596390"/>
          <a:ext cx="200406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541020</xdr:colOff>
      <xdr:row>12</xdr:row>
      <xdr:rowOff>41910</xdr:rowOff>
    </xdr:from>
    <xdr:to>
      <xdr:col>13</xdr:col>
      <xdr:colOff>220980</xdr:colOff>
      <xdr:row>13</xdr:row>
      <xdr:rowOff>156210</xdr:rowOff>
    </xdr:to>
    <xdr:sp macro="" textlink="PivotTables!R8">
      <xdr:nvSpPr>
        <xdr:cNvPr id="22" name="TextBox 21">
          <a:extLst>
            <a:ext uri="{FF2B5EF4-FFF2-40B4-BE49-F238E27FC236}">
              <a16:creationId xmlns:a16="http://schemas.microsoft.com/office/drawing/2014/main" id="{F9597292-DEA8-43C5-ABE1-4B4DBE37B8D5}"/>
            </a:ext>
          </a:extLst>
        </xdr:cNvPr>
        <xdr:cNvSpPr txBox="1"/>
      </xdr:nvSpPr>
      <xdr:spPr>
        <a:xfrm>
          <a:off x="6637020" y="22364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264DE7-7057-48D3-95BE-54BB86494C4E}" type="TxLink">
            <a:rPr lang="en-US" sz="1800" b="1" i="0" u="none" strike="noStrike">
              <a:solidFill>
                <a:schemeClr val="bg1"/>
              </a:solidFill>
              <a:latin typeface="Aptos Narrow"/>
              <a:ea typeface="+mn-ea"/>
              <a:cs typeface="+mn-cs"/>
            </a:rPr>
            <a:pPr marL="0" indent="0" algn="ctr"/>
            <a:t> 48 </a:t>
          </a:fld>
          <a:endParaRPr lang="en-US" sz="1800" b="1" i="0" u="none" strike="noStrike">
            <a:solidFill>
              <a:schemeClr val="bg1"/>
            </a:solidFill>
            <a:latin typeface="Aptos Narrow"/>
            <a:ea typeface="+mn-ea"/>
            <a:cs typeface="+mn-cs"/>
          </a:endParaRPr>
        </a:p>
      </xdr:txBody>
    </xdr:sp>
    <xdr:clientData/>
  </xdr:twoCellAnchor>
  <xdr:twoCellAnchor>
    <xdr:from>
      <xdr:col>16</xdr:col>
      <xdr:colOff>129540</xdr:colOff>
      <xdr:row>12</xdr:row>
      <xdr:rowOff>41910</xdr:rowOff>
    </xdr:from>
    <xdr:to>
      <xdr:col>18</xdr:col>
      <xdr:colOff>419100</xdr:colOff>
      <xdr:row>13</xdr:row>
      <xdr:rowOff>156210</xdr:rowOff>
    </xdr:to>
    <xdr:sp macro="" textlink="PivotTables!T8">
      <xdr:nvSpPr>
        <xdr:cNvPr id="23" name="TextBox 22">
          <a:extLst>
            <a:ext uri="{FF2B5EF4-FFF2-40B4-BE49-F238E27FC236}">
              <a16:creationId xmlns:a16="http://schemas.microsoft.com/office/drawing/2014/main" id="{414F16C2-D440-4B43-9D98-C810CBFC43F8}"/>
            </a:ext>
          </a:extLst>
        </xdr:cNvPr>
        <xdr:cNvSpPr txBox="1"/>
      </xdr:nvSpPr>
      <xdr:spPr>
        <a:xfrm>
          <a:off x="9883140" y="22364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C60329-EC30-44DB-9B20-4841D11F9E35}" type="TxLink">
            <a:rPr lang="en-US" sz="1800" b="1" i="0" u="none" strike="noStrike">
              <a:solidFill>
                <a:schemeClr val="bg1"/>
              </a:solidFill>
              <a:latin typeface="Aptos Narrow"/>
              <a:ea typeface="+mn-ea"/>
              <a:cs typeface="+mn-cs"/>
            </a:rPr>
            <a:pPr marL="0" indent="0" algn="ctr"/>
            <a:t>2.3</a:t>
          </a:fld>
          <a:endParaRPr lang="en-US" sz="1800" b="1" i="0" u="none" strike="noStrike">
            <a:solidFill>
              <a:schemeClr val="bg1"/>
            </a:solidFill>
            <a:latin typeface="Aptos Narrow"/>
            <a:ea typeface="+mn-ea"/>
            <a:cs typeface="+mn-cs"/>
          </a:endParaRPr>
        </a:p>
      </xdr:txBody>
    </xdr:sp>
    <xdr:clientData/>
  </xdr:twoCellAnchor>
  <xdr:twoCellAnchor>
    <xdr:from>
      <xdr:col>10</xdr:col>
      <xdr:colOff>457200</xdr:colOff>
      <xdr:row>9</xdr:row>
      <xdr:rowOff>38100</xdr:rowOff>
    </xdr:from>
    <xdr:to>
      <xdr:col>14</xdr:col>
      <xdr:colOff>53340</xdr:colOff>
      <xdr:row>10</xdr:row>
      <xdr:rowOff>121920</xdr:rowOff>
    </xdr:to>
    <xdr:sp macro="" textlink="">
      <xdr:nvSpPr>
        <xdr:cNvPr id="24" name="TextBox 23">
          <a:extLst>
            <a:ext uri="{FF2B5EF4-FFF2-40B4-BE49-F238E27FC236}">
              <a16:creationId xmlns:a16="http://schemas.microsoft.com/office/drawing/2014/main" id="{E0E04EE1-5E3E-4DA4-AE67-C72CD9B4C594}"/>
            </a:ext>
          </a:extLst>
        </xdr:cNvPr>
        <xdr:cNvSpPr txBox="1"/>
      </xdr:nvSpPr>
      <xdr:spPr>
        <a:xfrm>
          <a:off x="6553200" y="1684020"/>
          <a:ext cx="20345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bg1"/>
              </a:solidFill>
              <a:latin typeface="+mn-lt"/>
              <a:ea typeface="+mn-ea"/>
              <a:cs typeface="+mn-cs"/>
            </a:rPr>
            <a:t>Average of Stock levels</a:t>
          </a:r>
        </a:p>
      </xdr:txBody>
    </xdr:sp>
    <xdr:clientData/>
  </xdr:twoCellAnchor>
  <xdr:twoCellAnchor>
    <xdr:from>
      <xdr:col>15</xdr:col>
      <xdr:colOff>441960</xdr:colOff>
      <xdr:row>9</xdr:row>
      <xdr:rowOff>91440</xdr:rowOff>
    </xdr:from>
    <xdr:to>
      <xdr:col>19</xdr:col>
      <xdr:colOff>144780</xdr:colOff>
      <xdr:row>10</xdr:row>
      <xdr:rowOff>175260</xdr:rowOff>
    </xdr:to>
    <xdr:sp macro="" textlink="">
      <xdr:nvSpPr>
        <xdr:cNvPr id="25" name="TextBox 24">
          <a:extLst>
            <a:ext uri="{FF2B5EF4-FFF2-40B4-BE49-F238E27FC236}">
              <a16:creationId xmlns:a16="http://schemas.microsoft.com/office/drawing/2014/main" id="{8A094D8C-4EF9-451F-A190-B0E524087EF9}"/>
            </a:ext>
          </a:extLst>
        </xdr:cNvPr>
        <xdr:cNvSpPr txBox="1"/>
      </xdr:nvSpPr>
      <xdr:spPr>
        <a:xfrm>
          <a:off x="9585960" y="1737360"/>
          <a:ext cx="2141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Average of Defect rates</a:t>
          </a:r>
          <a:endParaRPr lang="en-US" sz="1600" b="1">
            <a:solidFill>
              <a:schemeClr val="bg1"/>
            </a:solidFill>
          </a:endParaRPr>
        </a:p>
      </xdr:txBody>
    </xdr:sp>
    <xdr:clientData/>
  </xdr:twoCellAnchor>
  <xdr:twoCellAnchor>
    <xdr:from>
      <xdr:col>0</xdr:col>
      <xdr:colOff>144780</xdr:colOff>
      <xdr:row>6</xdr:row>
      <xdr:rowOff>30480</xdr:rowOff>
    </xdr:from>
    <xdr:to>
      <xdr:col>3</xdr:col>
      <xdr:colOff>320040</xdr:colOff>
      <xdr:row>11</xdr:row>
      <xdr:rowOff>68580</xdr:rowOff>
    </xdr:to>
    <xdr:sp macro="" textlink="">
      <xdr:nvSpPr>
        <xdr:cNvPr id="26" name="TextBox 25">
          <a:extLst>
            <a:ext uri="{FF2B5EF4-FFF2-40B4-BE49-F238E27FC236}">
              <a16:creationId xmlns:a16="http://schemas.microsoft.com/office/drawing/2014/main" id="{6AEA5FED-0E14-4876-B0A5-D86C318AFB6D}"/>
            </a:ext>
          </a:extLst>
        </xdr:cNvPr>
        <xdr:cNvSpPr txBox="1"/>
      </xdr:nvSpPr>
      <xdr:spPr>
        <a:xfrm>
          <a:off x="144780" y="1127760"/>
          <a:ext cx="200406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rPr>
            <a:t>Supply</a:t>
          </a:r>
          <a:r>
            <a:rPr lang="en-US" sz="2400" baseline="0">
              <a:solidFill>
                <a:schemeClr val="bg1"/>
              </a:solidFill>
            </a:rPr>
            <a:t>  Chain </a:t>
          </a:r>
        </a:p>
        <a:p>
          <a:pPr algn="ctr"/>
          <a:r>
            <a:rPr lang="en-US" sz="2400" baseline="0">
              <a:solidFill>
                <a:schemeClr val="bg1"/>
              </a:solidFill>
            </a:rPr>
            <a:t>Report</a:t>
          </a:r>
          <a:endParaRPr lang="en-US" sz="2400" b="1">
            <a:solidFill>
              <a:schemeClr val="bg1"/>
            </a:solidFill>
          </a:endParaRPr>
        </a:p>
      </xdr:txBody>
    </xdr:sp>
    <xdr:clientData/>
  </xdr:twoCellAnchor>
  <xdr:twoCellAnchor>
    <xdr:from>
      <xdr:col>4</xdr:col>
      <xdr:colOff>304800</xdr:colOff>
      <xdr:row>5</xdr:row>
      <xdr:rowOff>99060</xdr:rowOff>
    </xdr:from>
    <xdr:to>
      <xdr:col>8</xdr:col>
      <xdr:colOff>281940</xdr:colOff>
      <xdr:row>8</xdr:row>
      <xdr:rowOff>22860</xdr:rowOff>
    </xdr:to>
    <xdr:sp macro="" textlink="">
      <xdr:nvSpPr>
        <xdr:cNvPr id="27" name="TextBox 26">
          <a:extLst>
            <a:ext uri="{FF2B5EF4-FFF2-40B4-BE49-F238E27FC236}">
              <a16:creationId xmlns:a16="http://schemas.microsoft.com/office/drawing/2014/main" id="{838271BF-42A9-45A7-943D-5EC39E496FEA}"/>
            </a:ext>
          </a:extLst>
        </xdr:cNvPr>
        <xdr:cNvSpPr txBox="1"/>
      </xdr:nvSpPr>
      <xdr:spPr>
        <a:xfrm>
          <a:off x="2743200" y="1013460"/>
          <a:ext cx="24155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rPr>
            <a:t>Supplier &amp; Quality</a:t>
          </a:r>
          <a:endParaRPr lang="en-US" sz="2400" baseline="0">
            <a:solidFill>
              <a:schemeClr val="bg1"/>
            </a:solidFill>
          </a:endParaRPr>
        </a:p>
      </xdr:txBody>
    </xdr:sp>
    <xdr:clientData/>
  </xdr:twoCellAnchor>
  <xdr:twoCellAnchor>
    <xdr:from>
      <xdr:col>8</xdr:col>
      <xdr:colOff>259080</xdr:colOff>
      <xdr:row>17</xdr:row>
      <xdr:rowOff>160020</xdr:rowOff>
    </xdr:from>
    <xdr:to>
      <xdr:col>16</xdr:col>
      <xdr:colOff>45720</xdr:colOff>
      <xdr:row>31</xdr:row>
      <xdr:rowOff>53340</xdr:rowOff>
    </xdr:to>
    <xdr:graphicFrame macro="">
      <xdr:nvGraphicFramePr>
        <xdr:cNvPr id="28" name="Chart 27">
          <a:extLst>
            <a:ext uri="{FF2B5EF4-FFF2-40B4-BE49-F238E27FC236}">
              <a16:creationId xmlns:a16="http://schemas.microsoft.com/office/drawing/2014/main" id="{CAEE9642-7FF5-4A76-A768-8B7957E80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16</xdr:row>
      <xdr:rowOff>152400</xdr:rowOff>
    </xdr:from>
    <xdr:to>
      <xdr:col>8</xdr:col>
      <xdr:colOff>472440</xdr:colOff>
      <xdr:row>31</xdr:row>
      <xdr:rowOff>137160</xdr:rowOff>
    </xdr:to>
    <xdr:graphicFrame macro="">
      <xdr:nvGraphicFramePr>
        <xdr:cNvPr id="30" name="Chart 29">
          <a:extLst>
            <a:ext uri="{FF2B5EF4-FFF2-40B4-BE49-F238E27FC236}">
              <a16:creationId xmlns:a16="http://schemas.microsoft.com/office/drawing/2014/main" id="{EA467302-E170-4FFA-8D49-0373F8345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457200</xdr:colOff>
      <xdr:row>16</xdr:row>
      <xdr:rowOff>83820</xdr:rowOff>
    </xdr:from>
    <xdr:to>
      <xdr:col>8</xdr:col>
      <xdr:colOff>129540</xdr:colOff>
      <xdr:row>17</xdr:row>
      <xdr:rowOff>167640</xdr:rowOff>
    </xdr:to>
    <xdr:sp macro="" textlink="">
      <xdr:nvSpPr>
        <xdr:cNvPr id="31" name="TextBox 30">
          <a:extLst>
            <a:ext uri="{FF2B5EF4-FFF2-40B4-BE49-F238E27FC236}">
              <a16:creationId xmlns:a16="http://schemas.microsoft.com/office/drawing/2014/main" id="{7675C614-877C-4B58-8A4C-3121B5DD1B2B}"/>
            </a:ext>
          </a:extLst>
        </xdr:cNvPr>
        <xdr:cNvSpPr txBox="1"/>
      </xdr:nvSpPr>
      <xdr:spPr>
        <a:xfrm>
          <a:off x="2895600" y="3009900"/>
          <a:ext cx="21107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Lead Time by Location</a:t>
          </a:r>
        </a:p>
      </xdr:txBody>
    </xdr:sp>
    <xdr:clientData/>
  </xdr:twoCellAnchor>
  <xdr:twoCellAnchor>
    <xdr:from>
      <xdr:col>15</xdr:col>
      <xdr:colOff>304800</xdr:colOff>
      <xdr:row>17</xdr:row>
      <xdr:rowOff>175260</xdr:rowOff>
    </xdr:from>
    <xdr:to>
      <xdr:col>22</xdr:col>
      <xdr:colOff>510540</xdr:colOff>
      <xdr:row>31</xdr:row>
      <xdr:rowOff>152400</xdr:rowOff>
    </xdr:to>
    <xdr:graphicFrame macro="">
      <xdr:nvGraphicFramePr>
        <xdr:cNvPr id="33" name="Chart 32">
          <a:extLst>
            <a:ext uri="{FF2B5EF4-FFF2-40B4-BE49-F238E27FC236}">
              <a16:creationId xmlns:a16="http://schemas.microsoft.com/office/drawing/2014/main" id="{72AE1B6D-ABE5-441D-A16E-9DE271856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281940</xdr:colOff>
      <xdr:row>26</xdr:row>
      <xdr:rowOff>83820</xdr:rowOff>
    </xdr:from>
    <xdr:to>
      <xdr:col>3</xdr:col>
      <xdr:colOff>464820</xdr:colOff>
      <xdr:row>33</xdr:row>
      <xdr:rowOff>45720</xdr:rowOff>
    </xdr:to>
    <mc:AlternateContent xmlns:mc="http://schemas.openxmlformats.org/markup-compatibility/2006" xmlns:a14="http://schemas.microsoft.com/office/drawing/2010/main">
      <mc:Choice Requires="a14">
        <xdr:graphicFrame macro="">
          <xdr:nvGraphicFramePr>
            <xdr:cNvPr id="34" name="Supplier name">
              <a:extLst>
                <a:ext uri="{FF2B5EF4-FFF2-40B4-BE49-F238E27FC236}">
                  <a16:creationId xmlns:a16="http://schemas.microsoft.com/office/drawing/2014/main" id="{D4FF7282-E244-4278-A315-A8C9AFFC3D4F}"/>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281940" y="4838700"/>
              <a:ext cx="201168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16</xdr:row>
      <xdr:rowOff>121920</xdr:rowOff>
    </xdr:from>
    <xdr:to>
      <xdr:col>3</xdr:col>
      <xdr:colOff>434340</xdr:colOff>
      <xdr:row>20</xdr:row>
      <xdr:rowOff>129540</xdr:rowOff>
    </xdr:to>
    <xdr:sp macro="" textlink="">
      <xdr:nvSpPr>
        <xdr:cNvPr id="47" name="Rectangle: Rounded Corners 46">
          <a:extLst>
            <a:ext uri="{FF2B5EF4-FFF2-40B4-BE49-F238E27FC236}">
              <a16:creationId xmlns:a16="http://schemas.microsoft.com/office/drawing/2014/main" id="{9C3F3A4C-798F-48AE-B13A-26E158EE9D71}"/>
            </a:ext>
          </a:extLst>
        </xdr:cNvPr>
        <xdr:cNvSpPr/>
      </xdr:nvSpPr>
      <xdr:spPr>
        <a:xfrm>
          <a:off x="198120" y="3048000"/>
          <a:ext cx="2065020" cy="73914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190500</xdr:colOff>
      <xdr:row>11</xdr:row>
      <xdr:rowOff>121920</xdr:rowOff>
    </xdr:from>
    <xdr:to>
      <xdr:col>3</xdr:col>
      <xdr:colOff>426720</xdr:colOff>
      <xdr:row>15</xdr:row>
      <xdr:rowOff>129540</xdr:rowOff>
    </xdr:to>
    <xdr:grpSp>
      <xdr:nvGrpSpPr>
        <xdr:cNvPr id="48" name="Group 47">
          <a:extLst>
            <a:ext uri="{FF2B5EF4-FFF2-40B4-BE49-F238E27FC236}">
              <a16:creationId xmlns:a16="http://schemas.microsoft.com/office/drawing/2014/main" id="{4CA5A809-1A21-4FDF-900F-E32EFCD5625E}"/>
            </a:ext>
          </a:extLst>
        </xdr:cNvPr>
        <xdr:cNvGrpSpPr/>
      </xdr:nvGrpSpPr>
      <xdr:grpSpPr>
        <a:xfrm>
          <a:off x="190500" y="2133600"/>
          <a:ext cx="2065020" cy="739140"/>
          <a:chOff x="152400" y="1127760"/>
          <a:chExt cx="2065020" cy="739140"/>
        </a:xfrm>
      </xdr:grpSpPr>
      <xdr:sp macro="" textlink="">
        <xdr:nvSpPr>
          <xdr:cNvPr id="49" name="Rectangle: Rounded Corners 48">
            <a:extLst>
              <a:ext uri="{FF2B5EF4-FFF2-40B4-BE49-F238E27FC236}">
                <a16:creationId xmlns:a16="http://schemas.microsoft.com/office/drawing/2014/main" id="{8B5EE9B1-3E29-D5DE-49DB-78A17E12260B}"/>
              </a:ext>
            </a:extLst>
          </xdr:cNvPr>
          <xdr:cNvSpPr/>
        </xdr:nvSpPr>
        <xdr:spPr>
          <a:xfrm>
            <a:off x="152400" y="1127760"/>
            <a:ext cx="2065020" cy="73914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0" name="TextBox 49">
            <a:hlinkClick xmlns:r="http://schemas.openxmlformats.org/officeDocument/2006/relationships" r:id="rId4"/>
            <a:extLst>
              <a:ext uri="{FF2B5EF4-FFF2-40B4-BE49-F238E27FC236}">
                <a16:creationId xmlns:a16="http://schemas.microsoft.com/office/drawing/2014/main" id="{B5ECE38E-E2DA-CDA6-1854-E0DF64D86C19}"/>
              </a:ext>
            </a:extLst>
          </xdr:cNvPr>
          <xdr:cNvSpPr txBox="1"/>
        </xdr:nvSpPr>
        <xdr:spPr>
          <a:xfrm>
            <a:off x="190500" y="1158240"/>
            <a:ext cx="19735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aseline="0">
                <a:solidFill>
                  <a:schemeClr val="bg1"/>
                </a:solidFill>
              </a:rPr>
              <a:t>Overview</a:t>
            </a:r>
          </a:p>
        </xdr:txBody>
      </xdr:sp>
    </xdr:grpSp>
    <xdr:clientData/>
  </xdr:twoCellAnchor>
  <xdr:twoCellAnchor>
    <xdr:from>
      <xdr:col>0</xdr:col>
      <xdr:colOff>220980</xdr:colOff>
      <xdr:row>17</xdr:row>
      <xdr:rowOff>60960</xdr:rowOff>
    </xdr:from>
    <xdr:to>
      <xdr:col>3</xdr:col>
      <xdr:colOff>403860</xdr:colOff>
      <xdr:row>19</xdr:row>
      <xdr:rowOff>167640</xdr:rowOff>
    </xdr:to>
    <xdr:sp macro="" textlink="">
      <xdr:nvSpPr>
        <xdr:cNvPr id="51" name="TextBox 50">
          <a:extLst>
            <a:ext uri="{FF2B5EF4-FFF2-40B4-BE49-F238E27FC236}">
              <a16:creationId xmlns:a16="http://schemas.microsoft.com/office/drawing/2014/main" id="{84445BD7-199D-43D2-AD69-CD13BB085D79}"/>
            </a:ext>
          </a:extLst>
        </xdr:cNvPr>
        <xdr:cNvSpPr txBox="1"/>
      </xdr:nvSpPr>
      <xdr:spPr>
        <a:xfrm>
          <a:off x="220980" y="3169920"/>
          <a:ext cx="20116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Supplier &amp; Quality</a:t>
          </a:r>
          <a:endParaRPr lang="en-US" sz="2000" baseline="0">
            <a:solidFill>
              <a:schemeClr val="bg1"/>
            </a:solidFill>
          </a:endParaRPr>
        </a:p>
      </xdr:txBody>
    </xdr:sp>
    <xdr:clientData/>
  </xdr:twoCellAnchor>
  <xdr:twoCellAnchor>
    <xdr:from>
      <xdr:col>0</xdr:col>
      <xdr:colOff>198120</xdr:colOff>
      <xdr:row>21</xdr:row>
      <xdr:rowOff>137160</xdr:rowOff>
    </xdr:from>
    <xdr:to>
      <xdr:col>3</xdr:col>
      <xdr:colOff>434340</xdr:colOff>
      <xdr:row>25</xdr:row>
      <xdr:rowOff>144780</xdr:rowOff>
    </xdr:to>
    <xdr:grpSp>
      <xdr:nvGrpSpPr>
        <xdr:cNvPr id="52" name="Group 51">
          <a:extLst>
            <a:ext uri="{FF2B5EF4-FFF2-40B4-BE49-F238E27FC236}">
              <a16:creationId xmlns:a16="http://schemas.microsoft.com/office/drawing/2014/main" id="{D8D329C6-D543-4DF9-B63B-7B3703AA1DD7}"/>
            </a:ext>
          </a:extLst>
        </xdr:cNvPr>
        <xdr:cNvGrpSpPr/>
      </xdr:nvGrpSpPr>
      <xdr:grpSpPr>
        <a:xfrm>
          <a:off x="198120" y="3977640"/>
          <a:ext cx="2065020" cy="739140"/>
          <a:chOff x="160020" y="2971800"/>
          <a:chExt cx="2065020" cy="739140"/>
        </a:xfrm>
      </xdr:grpSpPr>
      <xdr:sp macro="" textlink="">
        <xdr:nvSpPr>
          <xdr:cNvPr id="53" name="Rectangle: Rounded Corners 52">
            <a:extLst>
              <a:ext uri="{FF2B5EF4-FFF2-40B4-BE49-F238E27FC236}">
                <a16:creationId xmlns:a16="http://schemas.microsoft.com/office/drawing/2014/main" id="{EFD52963-43F5-CD88-5ACC-82FBBE1E0868}"/>
              </a:ext>
            </a:extLst>
          </xdr:cNvPr>
          <xdr:cNvSpPr/>
        </xdr:nvSpPr>
        <xdr:spPr>
          <a:xfrm>
            <a:off x="160020" y="2971800"/>
            <a:ext cx="2065020" cy="73914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4" name="TextBox 53">
            <a:hlinkClick xmlns:r="http://schemas.openxmlformats.org/officeDocument/2006/relationships" r:id="rId5"/>
            <a:extLst>
              <a:ext uri="{FF2B5EF4-FFF2-40B4-BE49-F238E27FC236}">
                <a16:creationId xmlns:a16="http://schemas.microsoft.com/office/drawing/2014/main" id="{2550B804-43C1-F365-6AE1-0A72F95E5742}"/>
              </a:ext>
            </a:extLst>
          </xdr:cNvPr>
          <xdr:cNvSpPr txBox="1"/>
        </xdr:nvSpPr>
        <xdr:spPr>
          <a:xfrm>
            <a:off x="160020" y="2971800"/>
            <a:ext cx="187452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Logistics &amp; Cost Analysis</a:t>
            </a:r>
            <a:endParaRPr lang="en-US" sz="1800" baseline="0">
              <a:solidFill>
                <a:schemeClr val="bg1"/>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5</xdr:row>
      <xdr:rowOff>30480</xdr:rowOff>
    </xdr:from>
    <xdr:to>
      <xdr:col>23</xdr:col>
      <xdr:colOff>129540</xdr:colOff>
      <xdr:row>36</xdr:row>
      <xdr:rowOff>0</xdr:rowOff>
    </xdr:to>
    <xdr:sp macro="" textlink="">
      <xdr:nvSpPr>
        <xdr:cNvPr id="2" name="Rectangle: Rounded Corners 1">
          <a:extLst>
            <a:ext uri="{FF2B5EF4-FFF2-40B4-BE49-F238E27FC236}">
              <a16:creationId xmlns:a16="http://schemas.microsoft.com/office/drawing/2014/main" id="{7F77CEF5-DEEC-45BB-A1F9-02AD82AAA64C}"/>
            </a:ext>
          </a:extLst>
        </xdr:cNvPr>
        <xdr:cNvSpPr/>
      </xdr:nvSpPr>
      <xdr:spPr>
        <a:xfrm>
          <a:off x="38100" y="944880"/>
          <a:ext cx="14112240" cy="563880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563880</xdr:colOff>
      <xdr:row>5</xdr:row>
      <xdr:rowOff>53340</xdr:rowOff>
    </xdr:from>
    <xdr:to>
      <xdr:col>22</xdr:col>
      <xdr:colOff>579120</xdr:colOff>
      <xdr:row>34</xdr:row>
      <xdr:rowOff>30480</xdr:rowOff>
    </xdr:to>
    <xdr:sp macro="" textlink="">
      <xdr:nvSpPr>
        <xdr:cNvPr id="3" name="Rectangle: Rounded Corners 2">
          <a:extLst>
            <a:ext uri="{FF2B5EF4-FFF2-40B4-BE49-F238E27FC236}">
              <a16:creationId xmlns:a16="http://schemas.microsoft.com/office/drawing/2014/main" id="{22372B47-8339-45E5-B085-A42BB2648DB5}"/>
            </a:ext>
          </a:extLst>
        </xdr:cNvPr>
        <xdr:cNvSpPr/>
      </xdr:nvSpPr>
      <xdr:spPr>
        <a:xfrm>
          <a:off x="2392680" y="967740"/>
          <a:ext cx="11597640" cy="528066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68580</xdr:colOff>
      <xdr:row>16</xdr:row>
      <xdr:rowOff>22860</xdr:rowOff>
    </xdr:from>
    <xdr:to>
      <xdr:col>8</xdr:col>
      <xdr:colOff>533400</xdr:colOff>
      <xdr:row>32</xdr:row>
      <xdr:rowOff>129540</xdr:rowOff>
    </xdr:to>
    <xdr:sp macro="" textlink="">
      <xdr:nvSpPr>
        <xdr:cNvPr id="4" name="Rectangle: Rounded Corners 3">
          <a:extLst>
            <a:ext uri="{FF2B5EF4-FFF2-40B4-BE49-F238E27FC236}">
              <a16:creationId xmlns:a16="http://schemas.microsoft.com/office/drawing/2014/main" id="{D57C988E-448F-41EF-ABC7-2B04173379A5}"/>
            </a:ext>
          </a:extLst>
        </xdr:cNvPr>
        <xdr:cNvSpPr/>
      </xdr:nvSpPr>
      <xdr:spPr>
        <a:xfrm>
          <a:off x="2506980" y="2948940"/>
          <a:ext cx="2903220" cy="3032760"/>
        </a:xfrm>
        <a:prstGeom prst="roundRect">
          <a:avLst/>
        </a:prstGeom>
        <a:solidFill>
          <a:srgbClr val="0D26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53340</xdr:colOff>
      <xdr:row>16</xdr:row>
      <xdr:rowOff>53340</xdr:rowOff>
    </xdr:from>
    <xdr:to>
      <xdr:col>15</xdr:col>
      <xdr:colOff>144780</xdr:colOff>
      <xdr:row>32</xdr:row>
      <xdr:rowOff>152400</xdr:rowOff>
    </xdr:to>
    <xdr:sp macro="" textlink="">
      <xdr:nvSpPr>
        <xdr:cNvPr id="5" name="Rectangle: Rounded Corners 4">
          <a:extLst>
            <a:ext uri="{FF2B5EF4-FFF2-40B4-BE49-F238E27FC236}">
              <a16:creationId xmlns:a16="http://schemas.microsoft.com/office/drawing/2014/main" id="{381CD96E-4C09-4040-B6D8-912898FD5E53}"/>
            </a:ext>
          </a:extLst>
        </xdr:cNvPr>
        <xdr:cNvSpPr/>
      </xdr:nvSpPr>
      <xdr:spPr>
        <a:xfrm>
          <a:off x="5539740" y="2979420"/>
          <a:ext cx="3749040" cy="302514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320040</xdr:colOff>
      <xdr:row>15</xdr:row>
      <xdr:rowOff>167640</xdr:rowOff>
    </xdr:from>
    <xdr:to>
      <xdr:col>22</xdr:col>
      <xdr:colOff>434340</xdr:colOff>
      <xdr:row>32</xdr:row>
      <xdr:rowOff>83820</xdr:rowOff>
    </xdr:to>
    <xdr:sp macro="" textlink="">
      <xdr:nvSpPr>
        <xdr:cNvPr id="6" name="Rectangle: Rounded Corners 5">
          <a:extLst>
            <a:ext uri="{FF2B5EF4-FFF2-40B4-BE49-F238E27FC236}">
              <a16:creationId xmlns:a16="http://schemas.microsoft.com/office/drawing/2014/main" id="{825F7BBA-1C4C-45C5-B0EF-6054661469AC}"/>
            </a:ext>
          </a:extLst>
        </xdr:cNvPr>
        <xdr:cNvSpPr/>
      </xdr:nvSpPr>
      <xdr:spPr>
        <a:xfrm>
          <a:off x="9464040" y="2910840"/>
          <a:ext cx="4381500" cy="3025140"/>
        </a:xfrm>
        <a:prstGeom prst="round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510540</xdr:colOff>
      <xdr:row>16</xdr:row>
      <xdr:rowOff>91440</xdr:rowOff>
    </xdr:from>
    <xdr:to>
      <xdr:col>14</xdr:col>
      <xdr:colOff>327660</xdr:colOff>
      <xdr:row>17</xdr:row>
      <xdr:rowOff>175260</xdr:rowOff>
    </xdr:to>
    <xdr:sp macro="" textlink="">
      <xdr:nvSpPr>
        <xdr:cNvPr id="7" name="TextBox 6">
          <a:extLst>
            <a:ext uri="{FF2B5EF4-FFF2-40B4-BE49-F238E27FC236}">
              <a16:creationId xmlns:a16="http://schemas.microsoft.com/office/drawing/2014/main" id="{548BC659-7A29-4A59-9D48-ED545FC53FB1}"/>
            </a:ext>
          </a:extLst>
        </xdr:cNvPr>
        <xdr:cNvSpPr txBox="1"/>
      </xdr:nvSpPr>
      <xdr:spPr>
        <a:xfrm>
          <a:off x="5996940" y="3017520"/>
          <a:ext cx="2865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rPr>
            <a:t>Shipping Cost by Transportation Mode</a:t>
          </a:r>
          <a:endParaRPr lang="en-US" sz="1400">
            <a:solidFill>
              <a:schemeClr val="bg1"/>
            </a:solidFill>
            <a:latin typeface="+mn-lt"/>
            <a:ea typeface="+mn-ea"/>
            <a:cs typeface="+mn-cs"/>
          </a:endParaRPr>
        </a:p>
      </xdr:txBody>
    </xdr:sp>
    <xdr:clientData/>
  </xdr:twoCellAnchor>
  <xdr:twoCellAnchor>
    <xdr:from>
      <xdr:col>17</xdr:col>
      <xdr:colOff>91440</xdr:colOff>
      <xdr:row>16</xdr:row>
      <xdr:rowOff>30480</xdr:rowOff>
    </xdr:from>
    <xdr:to>
      <xdr:col>21</xdr:col>
      <xdr:colOff>365760</xdr:colOff>
      <xdr:row>17</xdr:row>
      <xdr:rowOff>114300</xdr:rowOff>
    </xdr:to>
    <xdr:sp macro="" textlink="">
      <xdr:nvSpPr>
        <xdr:cNvPr id="8" name="TextBox 7">
          <a:extLst>
            <a:ext uri="{FF2B5EF4-FFF2-40B4-BE49-F238E27FC236}">
              <a16:creationId xmlns:a16="http://schemas.microsoft.com/office/drawing/2014/main" id="{0D665A67-F0CE-412A-A405-02877332E7DC}"/>
            </a:ext>
          </a:extLst>
        </xdr:cNvPr>
        <xdr:cNvSpPr txBox="1"/>
      </xdr:nvSpPr>
      <xdr:spPr>
        <a:xfrm>
          <a:off x="10454640" y="2956560"/>
          <a:ext cx="27127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Cost</a:t>
          </a:r>
          <a:r>
            <a:rPr lang="en-US" sz="1400" baseline="0">
              <a:solidFill>
                <a:schemeClr val="bg1"/>
              </a:solidFill>
              <a:latin typeface="+mn-lt"/>
              <a:ea typeface="+mn-ea"/>
              <a:cs typeface="+mn-cs"/>
            </a:rPr>
            <a:t> &amp; Time Shipping by Carrier</a:t>
          </a:r>
          <a:endParaRPr lang="en-US" sz="1400">
            <a:solidFill>
              <a:schemeClr val="bg1"/>
            </a:solidFill>
            <a:latin typeface="+mn-lt"/>
            <a:ea typeface="+mn-ea"/>
            <a:cs typeface="+mn-cs"/>
          </a:endParaRPr>
        </a:p>
      </xdr:txBody>
    </xdr:sp>
    <xdr:clientData/>
  </xdr:twoCellAnchor>
  <xdr:twoCellAnchor>
    <xdr:from>
      <xdr:col>5</xdr:col>
      <xdr:colOff>403860</xdr:colOff>
      <xdr:row>8</xdr:row>
      <xdr:rowOff>133350</xdr:rowOff>
    </xdr:from>
    <xdr:to>
      <xdr:col>9</xdr:col>
      <xdr:colOff>91440</xdr:colOff>
      <xdr:row>14</xdr:row>
      <xdr:rowOff>148590</xdr:rowOff>
    </xdr:to>
    <xdr:sp macro="" textlink="">
      <xdr:nvSpPr>
        <xdr:cNvPr id="9" name="Rectangle: Single Corner Snipped 8">
          <a:extLst>
            <a:ext uri="{FF2B5EF4-FFF2-40B4-BE49-F238E27FC236}">
              <a16:creationId xmlns:a16="http://schemas.microsoft.com/office/drawing/2014/main" id="{59FE2146-4208-4175-B53F-886DD0210AA7}"/>
            </a:ext>
          </a:extLst>
        </xdr:cNvPr>
        <xdr:cNvSpPr/>
      </xdr:nvSpPr>
      <xdr:spPr>
        <a:xfrm>
          <a:off x="3451860" y="1596390"/>
          <a:ext cx="212598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563880</xdr:colOff>
      <xdr:row>12</xdr:row>
      <xdr:rowOff>3810</xdr:rowOff>
    </xdr:from>
    <xdr:to>
      <xdr:col>8</xdr:col>
      <xdr:colOff>243840</xdr:colOff>
      <xdr:row>13</xdr:row>
      <xdr:rowOff>118110</xdr:rowOff>
    </xdr:to>
    <xdr:sp macro="" textlink="PivotTables!N16">
      <xdr:nvSpPr>
        <xdr:cNvPr id="10" name="TextBox 9">
          <a:extLst>
            <a:ext uri="{FF2B5EF4-FFF2-40B4-BE49-F238E27FC236}">
              <a16:creationId xmlns:a16="http://schemas.microsoft.com/office/drawing/2014/main" id="{DAD7184F-AF82-462B-9DB5-16AF576CF0D5}"/>
            </a:ext>
          </a:extLst>
        </xdr:cNvPr>
        <xdr:cNvSpPr txBox="1"/>
      </xdr:nvSpPr>
      <xdr:spPr>
        <a:xfrm>
          <a:off x="3611880" y="21983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298456-F671-44CE-95AA-627DC5825C51}" type="TxLink">
            <a:rPr lang="en-US" sz="1800" b="1" i="0" u="none" strike="noStrike">
              <a:solidFill>
                <a:schemeClr val="bg1"/>
              </a:solidFill>
              <a:latin typeface="Aptos Narrow"/>
              <a:ea typeface="+mn-ea"/>
              <a:cs typeface="+mn-cs"/>
            </a:rPr>
            <a:pPr marL="0" indent="0" algn="ctr"/>
            <a:t> $6 </a:t>
          </a:fld>
          <a:endParaRPr lang="en-US" sz="1800" b="1" i="0" u="none" strike="noStrike">
            <a:solidFill>
              <a:schemeClr val="bg1"/>
            </a:solidFill>
            <a:latin typeface="Aptos Narrow"/>
            <a:ea typeface="+mn-ea"/>
            <a:cs typeface="+mn-cs"/>
          </a:endParaRPr>
        </a:p>
      </xdr:txBody>
    </xdr:sp>
    <xdr:clientData/>
  </xdr:twoCellAnchor>
  <xdr:twoCellAnchor>
    <xdr:from>
      <xdr:col>5</xdr:col>
      <xdr:colOff>426720</xdr:colOff>
      <xdr:row>9</xdr:row>
      <xdr:rowOff>60960</xdr:rowOff>
    </xdr:from>
    <xdr:to>
      <xdr:col>9</xdr:col>
      <xdr:colOff>91440</xdr:colOff>
      <xdr:row>10</xdr:row>
      <xdr:rowOff>144780</xdr:rowOff>
    </xdr:to>
    <xdr:sp macro="" textlink="">
      <xdr:nvSpPr>
        <xdr:cNvPr id="11" name="TextBox 10">
          <a:extLst>
            <a:ext uri="{FF2B5EF4-FFF2-40B4-BE49-F238E27FC236}">
              <a16:creationId xmlns:a16="http://schemas.microsoft.com/office/drawing/2014/main" id="{3C62CF98-B0B5-4283-9A4E-E6CA764135E2}"/>
            </a:ext>
          </a:extLst>
        </xdr:cNvPr>
        <xdr:cNvSpPr txBox="1"/>
      </xdr:nvSpPr>
      <xdr:spPr>
        <a:xfrm>
          <a:off x="3474720" y="1706880"/>
          <a:ext cx="2103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Average Shipping Cost</a:t>
          </a:r>
          <a:endParaRPr lang="en-US" sz="1600">
            <a:solidFill>
              <a:schemeClr val="bg1"/>
            </a:solidFill>
          </a:endParaRPr>
        </a:p>
      </xdr:txBody>
    </xdr:sp>
    <xdr:clientData/>
  </xdr:twoCellAnchor>
  <xdr:twoCellAnchor>
    <xdr:from>
      <xdr:col>15</xdr:col>
      <xdr:colOff>441960</xdr:colOff>
      <xdr:row>8</xdr:row>
      <xdr:rowOff>133350</xdr:rowOff>
    </xdr:from>
    <xdr:to>
      <xdr:col>19</xdr:col>
      <xdr:colOff>114300</xdr:colOff>
      <xdr:row>14</xdr:row>
      <xdr:rowOff>148590</xdr:rowOff>
    </xdr:to>
    <xdr:sp macro="" textlink="">
      <xdr:nvSpPr>
        <xdr:cNvPr id="12" name="Rectangle: Single Corner Snipped 11">
          <a:extLst>
            <a:ext uri="{FF2B5EF4-FFF2-40B4-BE49-F238E27FC236}">
              <a16:creationId xmlns:a16="http://schemas.microsoft.com/office/drawing/2014/main" id="{5B3A9799-69AD-4B47-9930-A50A5B596C67}"/>
            </a:ext>
          </a:extLst>
        </xdr:cNvPr>
        <xdr:cNvSpPr/>
      </xdr:nvSpPr>
      <xdr:spPr>
        <a:xfrm>
          <a:off x="9585960" y="1596390"/>
          <a:ext cx="211074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289560</xdr:colOff>
      <xdr:row>8</xdr:row>
      <xdr:rowOff>140970</xdr:rowOff>
    </xdr:from>
    <xdr:to>
      <xdr:col>14</xdr:col>
      <xdr:colOff>175260</xdr:colOff>
      <xdr:row>14</xdr:row>
      <xdr:rowOff>156210</xdr:rowOff>
    </xdr:to>
    <xdr:sp macro="" textlink="">
      <xdr:nvSpPr>
        <xdr:cNvPr id="13" name="Rectangle: Single Corner Snipped 12">
          <a:extLst>
            <a:ext uri="{FF2B5EF4-FFF2-40B4-BE49-F238E27FC236}">
              <a16:creationId xmlns:a16="http://schemas.microsoft.com/office/drawing/2014/main" id="{FDF1B156-4C9F-42F2-9697-88580A951977}"/>
            </a:ext>
          </a:extLst>
        </xdr:cNvPr>
        <xdr:cNvSpPr/>
      </xdr:nvSpPr>
      <xdr:spPr>
        <a:xfrm>
          <a:off x="6385560" y="1604010"/>
          <a:ext cx="2324100" cy="1112520"/>
        </a:xfrm>
        <a:prstGeom prst="snip1Rect">
          <a:avLst/>
        </a:prstGeom>
        <a:solidFill>
          <a:srgbClr val="0D26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556260</xdr:colOff>
      <xdr:row>12</xdr:row>
      <xdr:rowOff>41910</xdr:rowOff>
    </xdr:from>
    <xdr:to>
      <xdr:col>13</xdr:col>
      <xdr:colOff>236220</xdr:colOff>
      <xdr:row>13</xdr:row>
      <xdr:rowOff>156210</xdr:rowOff>
    </xdr:to>
    <xdr:sp macro="" textlink="PivotTables!P16">
      <xdr:nvSpPr>
        <xdr:cNvPr id="14" name="TextBox 13">
          <a:extLst>
            <a:ext uri="{FF2B5EF4-FFF2-40B4-BE49-F238E27FC236}">
              <a16:creationId xmlns:a16="http://schemas.microsoft.com/office/drawing/2014/main" id="{1EDC42E2-7B3F-4A41-89F4-0A31D08D4C66}"/>
            </a:ext>
          </a:extLst>
        </xdr:cNvPr>
        <xdr:cNvSpPr txBox="1"/>
      </xdr:nvSpPr>
      <xdr:spPr>
        <a:xfrm>
          <a:off x="6652260" y="22364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99EAB6-72C7-4B5C-8123-CB730A6C8575}" type="TxLink">
            <a:rPr lang="en-US" sz="1800" b="1" i="0" u="none" strike="noStrike">
              <a:solidFill>
                <a:schemeClr val="bg1"/>
              </a:solidFill>
              <a:latin typeface="Aptos Narrow"/>
              <a:ea typeface="+mn-ea"/>
              <a:cs typeface="+mn-cs"/>
            </a:rPr>
            <a:pPr marL="0" indent="0" algn="ctr"/>
            <a:t> $52,925 </a:t>
          </a:fld>
          <a:endParaRPr lang="en-US" sz="1800" b="1" i="0" u="none" strike="noStrike">
            <a:solidFill>
              <a:schemeClr val="bg1"/>
            </a:solidFill>
            <a:latin typeface="Aptos Narrow"/>
            <a:ea typeface="+mn-ea"/>
            <a:cs typeface="+mn-cs"/>
          </a:endParaRPr>
        </a:p>
      </xdr:txBody>
    </xdr:sp>
    <xdr:clientData/>
  </xdr:twoCellAnchor>
  <xdr:twoCellAnchor>
    <xdr:from>
      <xdr:col>16</xdr:col>
      <xdr:colOff>144780</xdr:colOff>
      <xdr:row>12</xdr:row>
      <xdr:rowOff>41910</xdr:rowOff>
    </xdr:from>
    <xdr:to>
      <xdr:col>18</xdr:col>
      <xdr:colOff>434340</xdr:colOff>
      <xdr:row>13</xdr:row>
      <xdr:rowOff>156210</xdr:rowOff>
    </xdr:to>
    <xdr:sp macro="" textlink="PivotTables!O16">
      <xdr:nvSpPr>
        <xdr:cNvPr id="15" name="TextBox 14">
          <a:extLst>
            <a:ext uri="{FF2B5EF4-FFF2-40B4-BE49-F238E27FC236}">
              <a16:creationId xmlns:a16="http://schemas.microsoft.com/office/drawing/2014/main" id="{6DC0645F-FE98-41A1-B355-59A7C6B9DF28}"/>
            </a:ext>
          </a:extLst>
        </xdr:cNvPr>
        <xdr:cNvSpPr txBox="1"/>
      </xdr:nvSpPr>
      <xdr:spPr>
        <a:xfrm>
          <a:off x="9898380" y="2236470"/>
          <a:ext cx="1508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55AFE1-8EBE-4439-AF7B-FC265C91006A}" type="TxLink">
            <a:rPr lang="en-US" sz="1800" b="1" i="0" u="none" strike="noStrike">
              <a:solidFill>
                <a:schemeClr val="bg1"/>
              </a:solidFill>
              <a:latin typeface="Aptos Narrow"/>
              <a:ea typeface="+mn-ea"/>
              <a:cs typeface="+mn-cs"/>
            </a:rPr>
            <a:pPr marL="0" indent="0" algn="ctr"/>
            <a:t> 6 </a:t>
          </a:fld>
          <a:endParaRPr lang="en-US" sz="1800" b="1" i="0" u="none" strike="noStrike">
            <a:solidFill>
              <a:schemeClr val="bg1"/>
            </a:solidFill>
            <a:latin typeface="Aptos Narrow"/>
            <a:ea typeface="+mn-ea"/>
            <a:cs typeface="+mn-cs"/>
          </a:endParaRPr>
        </a:p>
      </xdr:txBody>
    </xdr:sp>
    <xdr:clientData/>
  </xdr:twoCellAnchor>
  <xdr:twoCellAnchor>
    <xdr:from>
      <xdr:col>10</xdr:col>
      <xdr:colOff>289560</xdr:colOff>
      <xdr:row>9</xdr:row>
      <xdr:rowOff>45720</xdr:rowOff>
    </xdr:from>
    <xdr:to>
      <xdr:col>14</xdr:col>
      <xdr:colOff>297180</xdr:colOff>
      <xdr:row>10</xdr:row>
      <xdr:rowOff>129540</xdr:rowOff>
    </xdr:to>
    <xdr:sp macro="" textlink="">
      <xdr:nvSpPr>
        <xdr:cNvPr id="16" name="TextBox 15">
          <a:extLst>
            <a:ext uri="{FF2B5EF4-FFF2-40B4-BE49-F238E27FC236}">
              <a16:creationId xmlns:a16="http://schemas.microsoft.com/office/drawing/2014/main" id="{BB72CBDF-1588-4969-9514-20E0D731B8E6}"/>
            </a:ext>
          </a:extLst>
        </xdr:cNvPr>
        <xdr:cNvSpPr txBox="1"/>
      </xdr:nvSpPr>
      <xdr:spPr>
        <a:xfrm>
          <a:off x="6385560" y="1691640"/>
          <a:ext cx="2446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Total Transportation Cost</a:t>
          </a:r>
          <a:endParaRPr lang="en-US" sz="1600">
            <a:solidFill>
              <a:schemeClr val="bg1"/>
            </a:solidFill>
          </a:endParaRPr>
        </a:p>
      </xdr:txBody>
    </xdr:sp>
    <xdr:clientData/>
  </xdr:twoCellAnchor>
  <xdr:twoCellAnchor>
    <xdr:from>
      <xdr:col>15</xdr:col>
      <xdr:colOff>457200</xdr:colOff>
      <xdr:row>9</xdr:row>
      <xdr:rowOff>91440</xdr:rowOff>
    </xdr:from>
    <xdr:to>
      <xdr:col>19</xdr:col>
      <xdr:colOff>160020</xdr:colOff>
      <xdr:row>10</xdr:row>
      <xdr:rowOff>175260</xdr:rowOff>
    </xdr:to>
    <xdr:sp macro="" textlink="">
      <xdr:nvSpPr>
        <xdr:cNvPr id="17" name="TextBox 16">
          <a:extLst>
            <a:ext uri="{FF2B5EF4-FFF2-40B4-BE49-F238E27FC236}">
              <a16:creationId xmlns:a16="http://schemas.microsoft.com/office/drawing/2014/main" id="{E6703E82-916F-4AFC-964E-B27592C90EE1}"/>
            </a:ext>
          </a:extLst>
        </xdr:cNvPr>
        <xdr:cNvSpPr txBox="1"/>
      </xdr:nvSpPr>
      <xdr:spPr>
        <a:xfrm>
          <a:off x="9601200" y="1737360"/>
          <a:ext cx="2141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Average Shipping Time</a:t>
          </a:r>
          <a:endParaRPr lang="en-US" sz="1600">
            <a:solidFill>
              <a:schemeClr val="bg1"/>
            </a:solidFill>
          </a:endParaRPr>
        </a:p>
      </xdr:txBody>
    </xdr:sp>
    <xdr:clientData/>
  </xdr:twoCellAnchor>
  <xdr:twoCellAnchor>
    <xdr:from>
      <xdr:col>0</xdr:col>
      <xdr:colOff>198120</xdr:colOff>
      <xdr:row>6</xdr:row>
      <xdr:rowOff>0</xdr:rowOff>
    </xdr:from>
    <xdr:to>
      <xdr:col>3</xdr:col>
      <xdr:colOff>373380</xdr:colOff>
      <xdr:row>11</xdr:row>
      <xdr:rowOff>38100</xdr:rowOff>
    </xdr:to>
    <xdr:sp macro="" textlink="">
      <xdr:nvSpPr>
        <xdr:cNvPr id="18" name="TextBox 17">
          <a:extLst>
            <a:ext uri="{FF2B5EF4-FFF2-40B4-BE49-F238E27FC236}">
              <a16:creationId xmlns:a16="http://schemas.microsoft.com/office/drawing/2014/main" id="{7E0A067D-E263-47F9-A910-15B0213706DF}"/>
            </a:ext>
          </a:extLst>
        </xdr:cNvPr>
        <xdr:cNvSpPr txBox="1"/>
      </xdr:nvSpPr>
      <xdr:spPr>
        <a:xfrm>
          <a:off x="198120" y="1097280"/>
          <a:ext cx="200406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rPr>
            <a:t>Supply</a:t>
          </a:r>
          <a:r>
            <a:rPr lang="en-US" sz="2400" baseline="0">
              <a:solidFill>
                <a:schemeClr val="bg1"/>
              </a:solidFill>
            </a:rPr>
            <a:t>  Chain </a:t>
          </a:r>
        </a:p>
        <a:p>
          <a:pPr algn="ctr"/>
          <a:r>
            <a:rPr lang="en-US" sz="2400" baseline="0">
              <a:solidFill>
                <a:schemeClr val="bg1"/>
              </a:solidFill>
            </a:rPr>
            <a:t>Report</a:t>
          </a:r>
          <a:endParaRPr lang="en-US" sz="2400" b="1">
            <a:solidFill>
              <a:schemeClr val="bg1"/>
            </a:solidFill>
          </a:endParaRPr>
        </a:p>
      </xdr:txBody>
    </xdr:sp>
    <xdr:clientData/>
  </xdr:twoCellAnchor>
  <xdr:twoCellAnchor>
    <xdr:from>
      <xdr:col>4</xdr:col>
      <xdr:colOff>320040</xdr:colOff>
      <xdr:row>5</xdr:row>
      <xdr:rowOff>99060</xdr:rowOff>
    </xdr:from>
    <xdr:to>
      <xdr:col>10</xdr:col>
      <xdr:colOff>76200</xdr:colOff>
      <xdr:row>8</xdr:row>
      <xdr:rowOff>22860</xdr:rowOff>
    </xdr:to>
    <xdr:sp macro="" textlink="">
      <xdr:nvSpPr>
        <xdr:cNvPr id="19" name="TextBox 18">
          <a:extLst>
            <a:ext uri="{FF2B5EF4-FFF2-40B4-BE49-F238E27FC236}">
              <a16:creationId xmlns:a16="http://schemas.microsoft.com/office/drawing/2014/main" id="{2C1FD5C8-C027-4713-98E7-F93D19452123}"/>
            </a:ext>
          </a:extLst>
        </xdr:cNvPr>
        <xdr:cNvSpPr txBox="1"/>
      </xdr:nvSpPr>
      <xdr:spPr>
        <a:xfrm>
          <a:off x="2758440" y="1013460"/>
          <a:ext cx="34137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rPr>
            <a:t>Logistics &amp; Cost Analysis</a:t>
          </a:r>
          <a:endParaRPr lang="en-US" sz="2400" baseline="0">
            <a:solidFill>
              <a:schemeClr val="bg1"/>
            </a:solidFill>
          </a:endParaRPr>
        </a:p>
      </xdr:txBody>
    </xdr:sp>
    <xdr:clientData/>
  </xdr:twoCellAnchor>
  <xdr:twoCellAnchor>
    <xdr:from>
      <xdr:col>4</xdr:col>
      <xdr:colOff>472440</xdr:colOff>
      <xdr:row>16</xdr:row>
      <xdr:rowOff>83820</xdr:rowOff>
    </xdr:from>
    <xdr:to>
      <xdr:col>8</xdr:col>
      <xdr:colOff>144780</xdr:colOff>
      <xdr:row>17</xdr:row>
      <xdr:rowOff>167640</xdr:rowOff>
    </xdr:to>
    <xdr:sp macro="" textlink="">
      <xdr:nvSpPr>
        <xdr:cNvPr id="23" name="TextBox 22">
          <a:extLst>
            <a:ext uri="{FF2B5EF4-FFF2-40B4-BE49-F238E27FC236}">
              <a16:creationId xmlns:a16="http://schemas.microsoft.com/office/drawing/2014/main" id="{AD75CACE-6A3A-4029-8F5A-375677D778FC}"/>
            </a:ext>
          </a:extLst>
        </xdr:cNvPr>
        <xdr:cNvSpPr txBox="1"/>
      </xdr:nvSpPr>
      <xdr:spPr>
        <a:xfrm>
          <a:off x="2910840" y="3009900"/>
          <a:ext cx="21107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rPr>
            <a:t>Cost by Route</a:t>
          </a:r>
          <a:endParaRPr lang="en-US" sz="1400">
            <a:solidFill>
              <a:schemeClr val="bg1"/>
            </a:solidFill>
            <a:latin typeface="+mn-lt"/>
            <a:ea typeface="+mn-ea"/>
            <a:cs typeface="+mn-cs"/>
          </a:endParaRPr>
        </a:p>
      </xdr:txBody>
    </xdr:sp>
    <xdr:clientData/>
  </xdr:twoCellAnchor>
  <xdr:twoCellAnchor>
    <xdr:from>
      <xdr:col>9</xdr:col>
      <xdr:colOff>53340</xdr:colOff>
      <xdr:row>17</xdr:row>
      <xdr:rowOff>99060</xdr:rowOff>
    </xdr:from>
    <xdr:to>
      <xdr:col>14</xdr:col>
      <xdr:colOff>480060</xdr:colOff>
      <xdr:row>31</xdr:row>
      <xdr:rowOff>22860</xdr:rowOff>
    </xdr:to>
    <xdr:graphicFrame macro="">
      <xdr:nvGraphicFramePr>
        <xdr:cNvPr id="24" name="Chart 23">
          <a:extLst>
            <a:ext uri="{FF2B5EF4-FFF2-40B4-BE49-F238E27FC236}">
              <a16:creationId xmlns:a16="http://schemas.microsoft.com/office/drawing/2014/main" id="{41731071-3B29-40BF-B58D-5FEC717C3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19</xdr:row>
      <xdr:rowOff>7620</xdr:rowOff>
    </xdr:from>
    <xdr:to>
      <xdr:col>8</xdr:col>
      <xdr:colOff>487680</xdr:colOff>
      <xdr:row>33</xdr:row>
      <xdr:rowOff>68580</xdr:rowOff>
    </xdr:to>
    <xdr:graphicFrame macro="">
      <xdr:nvGraphicFramePr>
        <xdr:cNvPr id="25" name="Chart 24">
          <a:extLst>
            <a:ext uri="{FF2B5EF4-FFF2-40B4-BE49-F238E27FC236}">
              <a16:creationId xmlns:a16="http://schemas.microsoft.com/office/drawing/2014/main" id="{22C60E6E-EE55-43D6-920D-7EC5D83A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335280</xdr:colOff>
      <xdr:row>18</xdr:row>
      <xdr:rowOff>15240</xdr:rowOff>
    </xdr:from>
    <xdr:to>
      <xdr:col>22</xdr:col>
      <xdr:colOff>480060</xdr:colOff>
      <xdr:row>32</xdr:row>
      <xdr:rowOff>99060</xdr:rowOff>
    </xdr:to>
    <xdr:graphicFrame macro="">
      <xdr:nvGraphicFramePr>
        <xdr:cNvPr id="26" name="Chart 25">
          <a:extLst>
            <a:ext uri="{FF2B5EF4-FFF2-40B4-BE49-F238E27FC236}">
              <a16:creationId xmlns:a16="http://schemas.microsoft.com/office/drawing/2014/main" id="{6AD5CF75-0DEA-4391-86BA-3919EF129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365760</xdr:colOff>
      <xdr:row>25</xdr:row>
      <xdr:rowOff>160020</xdr:rowOff>
    </xdr:from>
    <xdr:to>
      <xdr:col>3</xdr:col>
      <xdr:colOff>388620</xdr:colOff>
      <xdr:row>34</xdr:row>
      <xdr:rowOff>91440</xdr:rowOff>
    </xdr:to>
    <mc:AlternateContent xmlns:mc="http://schemas.openxmlformats.org/markup-compatibility/2006" xmlns:a14="http://schemas.microsoft.com/office/drawing/2010/main">
      <mc:Choice Requires="a14">
        <xdr:graphicFrame macro="">
          <xdr:nvGraphicFramePr>
            <xdr:cNvPr id="31" name="Transportation">
              <a:extLst>
                <a:ext uri="{FF2B5EF4-FFF2-40B4-BE49-F238E27FC236}">
                  <a16:creationId xmlns:a16="http://schemas.microsoft.com/office/drawing/2014/main" id="{8F9EAC5C-7BCA-48F8-8761-991815398491}"/>
                </a:ext>
              </a:extLst>
            </xdr:cNvPr>
            <xdr:cNvGraphicFramePr/>
          </xdr:nvGraphicFramePr>
          <xdr:xfrm>
            <a:off x="0" y="0"/>
            <a:ext cx="0" cy="0"/>
          </xdr:xfrm>
          <a:graphic>
            <a:graphicData uri="http://schemas.microsoft.com/office/drawing/2010/slicer">
              <sle:slicer xmlns:sle="http://schemas.microsoft.com/office/drawing/2010/slicer" name="Transportation"/>
            </a:graphicData>
          </a:graphic>
        </xdr:graphicFrame>
      </mc:Choice>
      <mc:Fallback xmlns="">
        <xdr:sp macro="" textlink="">
          <xdr:nvSpPr>
            <xdr:cNvPr id="0" name=""/>
            <xdr:cNvSpPr>
              <a:spLocks noTextEdit="1"/>
            </xdr:cNvSpPr>
          </xdr:nvSpPr>
          <xdr:spPr>
            <a:xfrm>
              <a:off x="365760" y="4732020"/>
              <a:ext cx="1851660" cy="1577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251460</xdr:colOff>
      <xdr:row>16</xdr:row>
      <xdr:rowOff>22860</xdr:rowOff>
    </xdr:from>
    <xdr:to>
      <xdr:col>3</xdr:col>
      <xdr:colOff>487680</xdr:colOff>
      <xdr:row>20</xdr:row>
      <xdr:rowOff>30480</xdr:rowOff>
    </xdr:to>
    <xdr:sp macro="" textlink="">
      <xdr:nvSpPr>
        <xdr:cNvPr id="40" name="Rectangle: Rounded Corners 39">
          <a:extLst>
            <a:ext uri="{FF2B5EF4-FFF2-40B4-BE49-F238E27FC236}">
              <a16:creationId xmlns:a16="http://schemas.microsoft.com/office/drawing/2014/main" id="{643E35BE-FCC0-4835-905E-741F4A1A5B4D}"/>
            </a:ext>
          </a:extLst>
        </xdr:cNvPr>
        <xdr:cNvSpPr/>
      </xdr:nvSpPr>
      <xdr:spPr>
        <a:xfrm>
          <a:off x="251460" y="2948940"/>
          <a:ext cx="2065020" cy="73914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243840</xdr:colOff>
      <xdr:row>11</xdr:row>
      <xdr:rowOff>22860</xdr:rowOff>
    </xdr:from>
    <xdr:to>
      <xdr:col>3</xdr:col>
      <xdr:colOff>480060</xdr:colOff>
      <xdr:row>15</xdr:row>
      <xdr:rowOff>30480</xdr:rowOff>
    </xdr:to>
    <xdr:grpSp>
      <xdr:nvGrpSpPr>
        <xdr:cNvPr id="41" name="Group 40">
          <a:extLst>
            <a:ext uri="{FF2B5EF4-FFF2-40B4-BE49-F238E27FC236}">
              <a16:creationId xmlns:a16="http://schemas.microsoft.com/office/drawing/2014/main" id="{022A1AE6-DC6E-4EFD-B7B6-939C579C11B5}"/>
            </a:ext>
          </a:extLst>
        </xdr:cNvPr>
        <xdr:cNvGrpSpPr/>
      </xdr:nvGrpSpPr>
      <xdr:grpSpPr>
        <a:xfrm>
          <a:off x="243840" y="2034540"/>
          <a:ext cx="2065020" cy="739140"/>
          <a:chOff x="152400" y="1127760"/>
          <a:chExt cx="2065020" cy="739140"/>
        </a:xfrm>
      </xdr:grpSpPr>
      <xdr:sp macro="" textlink="">
        <xdr:nvSpPr>
          <xdr:cNvPr id="42" name="Rectangle: Rounded Corners 41">
            <a:extLst>
              <a:ext uri="{FF2B5EF4-FFF2-40B4-BE49-F238E27FC236}">
                <a16:creationId xmlns:a16="http://schemas.microsoft.com/office/drawing/2014/main" id="{F01A89F0-5767-FFFB-814E-F8366490866F}"/>
              </a:ext>
            </a:extLst>
          </xdr:cNvPr>
          <xdr:cNvSpPr/>
        </xdr:nvSpPr>
        <xdr:spPr>
          <a:xfrm>
            <a:off x="152400" y="1127760"/>
            <a:ext cx="2065020" cy="739140"/>
          </a:xfrm>
          <a:prstGeom prst="roundRect">
            <a:avLst/>
          </a:prstGeom>
          <a:solidFill>
            <a:srgbClr val="1335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3" name="TextBox 42">
            <a:hlinkClick xmlns:r="http://schemas.openxmlformats.org/officeDocument/2006/relationships" r:id="rId4"/>
            <a:extLst>
              <a:ext uri="{FF2B5EF4-FFF2-40B4-BE49-F238E27FC236}">
                <a16:creationId xmlns:a16="http://schemas.microsoft.com/office/drawing/2014/main" id="{AEA2F487-3640-444E-47EF-7B3D5278A2F1}"/>
              </a:ext>
            </a:extLst>
          </xdr:cNvPr>
          <xdr:cNvSpPr txBox="1"/>
        </xdr:nvSpPr>
        <xdr:spPr>
          <a:xfrm>
            <a:off x="190500" y="1158240"/>
            <a:ext cx="19735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aseline="0">
                <a:solidFill>
                  <a:schemeClr val="bg1"/>
                </a:solidFill>
              </a:rPr>
              <a:t>Overview</a:t>
            </a:r>
          </a:p>
        </xdr:txBody>
      </xdr:sp>
    </xdr:grpSp>
    <xdr:clientData/>
  </xdr:twoCellAnchor>
  <xdr:twoCellAnchor>
    <xdr:from>
      <xdr:col>0</xdr:col>
      <xdr:colOff>274320</xdr:colOff>
      <xdr:row>16</xdr:row>
      <xdr:rowOff>144780</xdr:rowOff>
    </xdr:from>
    <xdr:to>
      <xdr:col>3</xdr:col>
      <xdr:colOff>457200</xdr:colOff>
      <xdr:row>19</xdr:row>
      <xdr:rowOff>68580</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337FC9AA-D4D3-4308-BACD-277A0F5DA653}"/>
            </a:ext>
          </a:extLst>
        </xdr:cNvPr>
        <xdr:cNvSpPr txBox="1"/>
      </xdr:nvSpPr>
      <xdr:spPr>
        <a:xfrm>
          <a:off x="274320" y="3070860"/>
          <a:ext cx="20116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Supplier &amp; Quality</a:t>
          </a:r>
          <a:endParaRPr lang="en-US" sz="2000" baseline="0">
            <a:solidFill>
              <a:schemeClr val="bg1"/>
            </a:solidFill>
          </a:endParaRPr>
        </a:p>
      </xdr:txBody>
    </xdr:sp>
    <xdr:clientData/>
  </xdr:twoCellAnchor>
  <xdr:twoCellAnchor>
    <xdr:from>
      <xdr:col>0</xdr:col>
      <xdr:colOff>251460</xdr:colOff>
      <xdr:row>21</xdr:row>
      <xdr:rowOff>38100</xdr:rowOff>
    </xdr:from>
    <xdr:to>
      <xdr:col>3</xdr:col>
      <xdr:colOff>487680</xdr:colOff>
      <xdr:row>25</xdr:row>
      <xdr:rowOff>45720</xdr:rowOff>
    </xdr:to>
    <xdr:grpSp>
      <xdr:nvGrpSpPr>
        <xdr:cNvPr id="45" name="Group 44">
          <a:extLst>
            <a:ext uri="{FF2B5EF4-FFF2-40B4-BE49-F238E27FC236}">
              <a16:creationId xmlns:a16="http://schemas.microsoft.com/office/drawing/2014/main" id="{C03B8D69-7376-4475-9B78-631AEEFCB068}"/>
            </a:ext>
          </a:extLst>
        </xdr:cNvPr>
        <xdr:cNvGrpSpPr/>
      </xdr:nvGrpSpPr>
      <xdr:grpSpPr>
        <a:xfrm>
          <a:off x="251460" y="3878580"/>
          <a:ext cx="2065020" cy="739140"/>
          <a:chOff x="160020" y="2971800"/>
          <a:chExt cx="2065020" cy="739140"/>
        </a:xfrm>
        <a:solidFill>
          <a:srgbClr val="00B050"/>
        </a:solidFill>
      </xdr:grpSpPr>
      <xdr:sp macro="" textlink="">
        <xdr:nvSpPr>
          <xdr:cNvPr id="46" name="Rectangle: Rounded Corners 45">
            <a:extLst>
              <a:ext uri="{FF2B5EF4-FFF2-40B4-BE49-F238E27FC236}">
                <a16:creationId xmlns:a16="http://schemas.microsoft.com/office/drawing/2014/main" id="{F54DC8EE-3637-6B86-6E34-A573C9DD4AF3}"/>
              </a:ext>
            </a:extLst>
          </xdr:cNvPr>
          <xdr:cNvSpPr/>
        </xdr:nvSpPr>
        <xdr:spPr>
          <a:xfrm>
            <a:off x="160020" y="2971800"/>
            <a:ext cx="2065020" cy="7391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TextBox 46">
            <a:extLst>
              <a:ext uri="{FF2B5EF4-FFF2-40B4-BE49-F238E27FC236}">
                <a16:creationId xmlns:a16="http://schemas.microsoft.com/office/drawing/2014/main" id="{0EF41D9E-3A28-8244-97FE-679EE936EF44}"/>
              </a:ext>
            </a:extLst>
          </xdr:cNvPr>
          <xdr:cNvSpPr txBox="1"/>
        </xdr:nvSpPr>
        <xdr:spPr>
          <a:xfrm>
            <a:off x="160020" y="2971800"/>
            <a:ext cx="1874520" cy="701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Logistics &amp; Cost Analysis</a:t>
            </a:r>
            <a:endParaRPr lang="en-US" sz="1800" baseline="0">
              <a:solidFill>
                <a:schemeClr val="bg1"/>
              </a:solidFill>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 abdelrazek" refreshedDate="46015.85276400463" createdVersion="8" refreshedVersion="8" minRefreshableVersion="3" recordCount="100" xr:uid="{D11414D8-E793-4890-B22E-867E7F59ED5A}">
  <cacheSource type="worksheet">
    <worksheetSource name="Table1"/>
  </cacheSource>
  <cacheFields count="24">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60138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8661.9967923923796"/>
    <s v="Non-binary"/>
    <n v="58"/>
    <n v="7"/>
    <n v="96"/>
    <n v="4"/>
    <x v="0"/>
    <n v="2.9565721394308002"/>
    <x v="0"/>
    <x v="0"/>
    <n v="29"/>
    <n v="215"/>
    <n v="29"/>
    <n v="46.279879240508301"/>
    <x v="0"/>
    <n v="0.226410360849925"/>
    <x v="0"/>
    <x v="0"/>
    <n v="187.75207545920301"/>
  </r>
  <r>
    <x v="1"/>
    <x v="1"/>
    <n v="14.8435232750843"/>
    <n v="95"/>
    <n v="736"/>
    <n v="7460.9000654458396"/>
    <s v="Female"/>
    <n v="53"/>
    <n v="30"/>
    <n v="37"/>
    <n v="2"/>
    <x v="1"/>
    <n v="9.7165747714313095"/>
    <x v="0"/>
    <x v="0"/>
    <n v="23"/>
    <n v="517"/>
    <n v="30"/>
    <n v="33.616768953730002"/>
    <x v="0"/>
    <n v="4.8540680263886999"/>
    <x v="0"/>
    <x v="0"/>
    <n v="503.06557914966902"/>
  </r>
  <r>
    <x v="0"/>
    <x v="2"/>
    <n v="11.319683293090501"/>
    <n v="34"/>
    <n v="8"/>
    <n v="9577.7496258687297"/>
    <s v="Unknown"/>
    <n v="1"/>
    <n v="10"/>
    <n v="88"/>
    <n v="2"/>
    <x v="0"/>
    <n v="8.0544792617321495"/>
    <x v="1"/>
    <x v="0"/>
    <n v="12"/>
    <n v="971"/>
    <n v="27"/>
    <n v="30.6880193482842"/>
    <x v="0"/>
    <n v="4.5805926191992201"/>
    <x v="1"/>
    <x v="1"/>
    <n v="141.920281771519"/>
  </r>
  <r>
    <x v="1"/>
    <x v="3"/>
    <n v="61.1633430164377"/>
    <n v="68"/>
    <n v="83"/>
    <n v="7766.8364256852301"/>
    <s v="Non-binary"/>
    <n v="23"/>
    <n v="13"/>
    <n v="59"/>
    <n v="6"/>
    <x v="2"/>
    <n v="1.7295685635434199"/>
    <x v="2"/>
    <x v="1"/>
    <n v="24"/>
    <n v="937"/>
    <n v="18"/>
    <n v="35.624741397125"/>
    <x v="1"/>
    <n v="4.7466486206477496"/>
    <x v="2"/>
    <x v="2"/>
    <n v="254.776159219286"/>
  </r>
  <r>
    <x v="1"/>
    <x v="4"/>
    <n v="4.8054960363458896"/>
    <n v="26"/>
    <n v="871"/>
    <n v="2686.50515156744"/>
    <s v="Non-binary"/>
    <n v="5"/>
    <n v="3"/>
    <n v="56"/>
    <n v="8"/>
    <x v="1"/>
    <n v="3.8905479158706702"/>
    <x v="1"/>
    <x v="2"/>
    <n v="5"/>
    <n v="414"/>
    <n v="3"/>
    <n v="92.065160598712794"/>
    <x v="1"/>
    <n v="3.1455795228330001"/>
    <x v="1"/>
    <x v="2"/>
    <n v="923.44063171192204"/>
  </r>
  <r>
    <x v="0"/>
    <x v="5"/>
    <n v="1.6999760138659299"/>
    <n v="87"/>
    <n v="147"/>
    <n v="2828.3487459757498"/>
    <s v="Non-binary"/>
    <n v="90"/>
    <n v="27"/>
    <n v="66"/>
    <n v="3"/>
    <x v="0"/>
    <n v="4.4440988643822896"/>
    <x v="3"/>
    <x v="3"/>
    <n v="10"/>
    <n v="104"/>
    <n v="17"/>
    <n v="56.766475557431797"/>
    <x v="1"/>
    <n v="2.7791935115711599"/>
    <x v="0"/>
    <x v="2"/>
    <n v="235.461236735537"/>
  </r>
  <r>
    <x v="1"/>
    <x v="6"/>
    <n v="4.0783328631079403"/>
    <n v="48"/>
    <n v="65"/>
    <n v="7823.4765595317303"/>
    <s v="Male"/>
    <n v="11"/>
    <n v="15"/>
    <n v="58"/>
    <n v="8"/>
    <x v="2"/>
    <n v="3.8807633029519999"/>
    <x v="0"/>
    <x v="1"/>
    <n v="14"/>
    <n v="314"/>
    <n v="24"/>
    <n v="1.0850685695870601"/>
    <x v="0"/>
    <n v="1.0009106193041299"/>
    <x v="3"/>
    <x v="2"/>
    <n v="134.36909686103101"/>
  </r>
  <r>
    <x v="2"/>
    <x v="7"/>
    <n v="42.958384382459997"/>
    <n v="59"/>
    <n v="426"/>
    <n v="8496.1038130898305"/>
    <s v="Female"/>
    <n v="93"/>
    <n v="17"/>
    <n v="11"/>
    <n v="1"/>
    <x v="0"/>
    <n v="2.3483387844177801"/>
    <x v="3"/>
    <x v="3"/>
    <n v="22"/>
    <n v="564"/>
    <n v="1"/>
    <n v="99.466108603599096"/>
    <x v="1"/>
    <n v="0.39817718685065001"/>
    <x v="0"/>
    <x v="1"/>
    <n v="802.05631181755803"/>
  </r>
  <r>
    <x v="2"/>
    <x v="8"/>
    <n v="68.717596748527299"/>
    <n v="78"/>
    <n v="150"/>
    <n v="7517.3632106311197"/>
    <s v="Female"/>
    <n v="5"/>
    <n v="10"/>
    <n v="15"/>
    <n v="7"/>
    <x v="2"/>
    <n v="3.4047338570830199"/>
    <x v="3"/>
    <x v="0"/>
    <n v="13"/>
    <n v="769"/>
    <n v="8"/>
    <n v="11.423027139565599"/>
    <x v="0"/>
    <n v="2.7098626911099601"/>
    <x v="3"/>
    <x v="0"/>
    <n v="505.55713422546398"/>
  </r>
  <r>
    <x v="1"/>
    <x v="9"/>
    <n v="64.0157329412785"/>
    <n v="35"/>
    <n v="980"/>
    <n v="4971.1459875855498"/>
    <s v="Unknown"/>
    <n v="14"/>
    <n v="27"/>
    <n v="83"/>
    <n v="1"/>
    <x v="1"/>
    <n v="7.1666452910482104"/>
    <x v="4"/>
    <x v="4"/>
    <n v="29"/>
    <n v="963"/>
    <n v="23"/>
    <n v="47.957601634951502"/>
    <x v="0"/>
    <n v="3.8446144787675798"/>
    <x v="2"/>
    <x v="0"/>
    <n v="995.92946149864099"/>
  </r>
  <r>
    <x v="1"/>
    <x v="10"/>
    <n v="15.707795681912099"/>
    <n v="11"/>
    <n v="996"/>
    <n v="2330.9658020919401"/>
    <s v="Non-binary"/>
    <n v="51"/>
    <n v="13"/>
    <n v="80"/>
    <n v="2"/>
    <x v="2"/>
    <n v="8.6732112112786108"/>
    <x v="2"/>
    <x v="1"/>
    <n v="18"/>
    <n v="830"/>
    <n v="5"/>
    <n v="96.527352785310896"/>
    <x v="2"/>
    <n v="1.72731392835594"/>
    <x v="0"/>
    <x v="0"/>
    <n v="806.10317770292295"/>
  </r>
  <r>
    <x v="1"/>
    <x v="11"/>
    <n v="90.635459982288594"/>
    <n v="95"/>
    <n v="960"/>
    <n v="6099.9441155814502"/>
    <s v="Female"/>
    <n v="46"/>
    <n v="23"/>
    <n v="60"/>
    <n v="1"/>
    <x v="1"/>
    <n v="4.5239431243166601"/>
    <x v="4"/>
    <x v="1"/>
    <n v="28"/>
    <n v="362"/>
    <n v="11"/>
    <n v="27.5923630866636"/>
    <x v="0"/>
    <n v="2.1169821372994301E-2"/>
    <x v="1"/>
    <x v="2"/>
    <n v="126.72303340940699"/>
  </r>
  <r>
    <x v="0"/>
    <x v="12"/>
    <n v="71.213389075359999"/>
    <n v="41"/>
    <n v="336"/>
    <n v="2873.74144602144"/>
    <s v="Unknown"/>
    <n v="100"/>
    <n v="30"/>
    <n v="85"/>
    <n v="4"/>
    <x v="1"/>
    <n v="1.32527401018452"/>
    <x v="3"/>
    <x v="1"/>
    <n v="3"/>
    <n v="563"/>
    <n v="3"/>
    <n v="32.321286213424003"/>
    <x v="1"/>
    <n v="2.1612537475559099"/>
    <x v="0"/>
    <x v="0"/>
    <n v="402.96878907376998"/>
  </r>
  <r>
    <x v="1"/>
    <x v="13"/>
    <n v="16.160393317379899"/>
    <n v="5"/>
    <n v="249"/>
    <n v="4052.7384162378598"/>
    <s v="Male"/>
    <n v="80"/>
    <n v="8"/>
    <n v="48"/>
    <n v="9"/>
    <x v="1"/>
    <n v="9.5372830611083295"/>
    <x v="2"/>
    <x v="3"/>
    <n v="23"/>
    <n v="173"/>
    <n v="10"/>
    <n v="97.829050110173199"/>
    <x v="0"/>
    <n v="1.63107423007153"/>
    <x v="0"/>
    <x v="0"/>
    <n v="547.24100516096803"/>
  </r>
  <r>
    <x v="1"/>
    <x v="14"/>
    <n v="99.171328638624104"/>
    <n v="26"/>
    <n v="562"/>
    <n v="8653.5709264697998"/>
    <s v="Non-binary"/>
    <n v="54"/>
    <n v="29"/>
    <n v="78"/>
    <n v="5"/>
    <x v="0"/>
    <n v="2.0397701894493299"/>
    <x v="1"/>
    <x v="1"/>
    <n v="25"/>
    <n v="558"/>
    <n v="14"/>
    <n v="5.7914366298629796"/>
    <x v="0"/>
    <n v="0.100682851565093"/>
    <x v="1"/>
    <x v="0"/>
    <n v="929.23528996088896"/>
  </r>
  <r>
    <x v="1"/>
    <x v="15"/>
    <n v="36.989244928626903"/>
    <n v="94"/>
    <n v="469"/>
    <n v="5442.0867853976697"/>
    <s v="Non-binary"/>
    <n v="9"/>
    <n v="8"/>
    <n v="69"/>
    <n v="7"/>
    <x v="0"/>
    <n v="2.4220397232752"/>
    <x v="1"/>
    <x v="3"/>
    <n v="14"/>
    <n v="580"/>
    <n v="7"/>
    <n v="97.121281751474299"/>
    <x v="2"/>
    <n v="2.2644057611985402"/>
    <x v="3"/>
    <x v="0"/>
    <n v="127.861800001625"/>
  </r>
  <r>
    <x v="1"/>
    <x v="16"/>
    <n v="7.5471721097912701"/>
    <n v="74"/>
    <n v="280"/>
    <n v="6453.7979681762799"/>
    <s v="Female"/>
    <n v="2"/>
    <n v="5"/>
    <n v="78"/>
    <n v="1"/>
    <x v="0"/>
    <n v="4.1913245857054999"/>
    <x v="1"/>
    <x v="3"/>
    <n v="3"/>
    <n v="399"/>
    <n v="21"/>
    <n v="77.106342497849994"/>
    <x v="2"/>
    <n v="1.01256308925804"/>
    <x v="1"/>
    <x v="2"/>
    <n v="865.52577977123997"/>
  </r>
  <r>
    <x v="2"/>
    <x v="17"/>
    <n v="81.462534369237005"/>
    <n v="82"/>
    <n v="126"/>
    <n v="2629.39643484526"/>
    <s v="Female"/>
    <n v="45"/>
    <n v="17"/>
    <n v="85"/>
    <n v="9"/>
    <x v="2"/>
    <n v="3.5854189582323399"/>
    <x v="1"/>
    <x v="4"/>
    <n v="7"/>
    <n v="453"/>
    <n v="16"/>
    <n v="47.679680368355299"/>
    <x v="1"/>
    <n v="0.102020754918176"/>
    <x v="1"/>
    <x v="1"/>
    <n v="670.93439079241"/>
  </r>
  <r>
    <x v="0"/>
    <x v="18"/>
    <n v="36.4436277704609"/>
    <n v="23"/>
    <n v="620"/>
    <n v="9364.6735050761708"/>
    <s v="Unknown"/>
    <n v="10"/>
    <n v="10"/>
    <n v="46"/>
    <n v="8"/>
    <x v="2"/>
    <n v="4.3392247141107001"/>
    <x v="4"/>
    <x v="1"/>
    <n v="18"/>
    <n v="374"/>
    <n v="17"/>
    <n v="27.107980854843898"/>
    <x v="0"/>
    <n v="2.2319391107292601"/>
    <x v="3"/>
    <x v="2"/>
    <n v="593.48025872065102"/>
  </r>
  <r>
    <x v="1"/>
    <x v="19"/>
    <n v="51.123870087964697"/>
    <n v="100"/>
    <n v="187"/>
    <n v="2553.4955849912099"/>
    <s v="Unknown"/>
    <n v="48"/>
    <n v="11"/>
    <n v="94"/>
    <n v="3"/>
    <x v="1"/>
    <n v="4.7426358828418698"/>
    <x v="3"/>
    <x v="4"/>
    <n v="20"/>
    <n v="694"/>
    <n v="16"/>
    <n v="82.373320587990193"/>
    <x v="1"/>
    <n v="3.64645086541702"/>
    <x v="0"/>
    <x v="1"/>
    <n v="477.30763109090299"/>
  </r>
  <r>
    <x v="1"/>
    <x v="20"/>
    <n v="96.341072439963298"/>
    <n v="22"/>
    <n v="320"/>
    <n v="8128.0276968511898"/>
    <s v="Unknown"/>
    <n v="27"/>
    <n v="12"/>
    <n v="68"/>
    <n v="6"/>
    <x v="1"/>
    <n v="8.8783346509268402"/>
    <x v="1"/>
    <x v="4"/>
    <n v="29"/>
    <n v="309"/>
    <n v="6"/>
    <n v="65.686259608488598"/>
    <x v="2"/>
    <n v="4.2314165735345304"/>
    <x v="1"/>
    <x v="0"/>
    <n v="493.871215316205"/>
  </r>
  <r>
    <x v="2"/>
    <x v="21"/>
    <n v="84.893868984950799"/>
    <n v="60"/>
    <n v="601"/>
    <n v="7087.0526963574302"/>
    <s v="Unknown"/>
    <n v="69"/>
    <n v="25"/>
    <n v="7"/>
    <n v="6"/>
    <x v="0"/>
    <n v="6.0378837692182898"/>
    <x v="2"/>
    <x v="4"/>
    <n v="19"/>
    <n v="791"/>
    <n v="4"/>
    <n v="61.735728954160898"/>
    <x v="0"/>
    <n v="1.8607567631014899E-2"/>
    <x v="1"/>
    <x v="1"/>
    <n v="523.36091472015801"/>
  </r>
  <r>
    <x v="0"/>
    <x v="22"/>
    <n v="27.679780886501899"/>
    <n v="55"/>
    <n v="884"/>
    <n v="2390.8078665561702"/>
    <s v="Unknown"/>
    <n v="71"/>
    <n v="1"/>
    <n v="63"/>
    <n v="10"/>
    <x v="1"/>
    <n v="9.5676489209230393"/>
    <x v="3"/>
    <x v="1"/>
    <n v="22"/>
    <n v="780"/>
    <n v="28"/>
    <n v="50.120839612977299"/>
    <x v="1"/>
    <n v="2.5912754732111098"/>
    <x v="2"/>
    <x v="1"/>
    <n v="205.57199582694699"/>
  </r>
  <r>
    <x v="2"/>
    <x v="23"/>
    <n v="4.3243411858641601"/>
    <n v="30"/>
    <n v="391"/>
    <n v="8858.3675710114803"/>
    <s v="Unknown"/>
    <n v="84"/>
    <n v="5"/>
    <n v="29"/>
    <n v="7"/>
    <x v="1"/>
    <n v="2.92485760114555"/>
    <x v="2"/>
    <x v="1"/>
    <n v="11"/>
    <n v="568"/>
    <n v="29"/>
    <n v="98.6099572427038"/>
    <x v="0"/>
    <n v="1.3422915627227301"/>
    <x v="2"/>
    <x v="2"/>
    <n v="196.329446112412"/>
  </r>
  <r>
    <x v="0"/>
    <x v="24"/>
    <n v="4.1563083593111001"/>
    <n v="32"/>
    <n v="209"/>
    <n v="9049.0778609398894"/>
    <s v="Male"/>
    <n v="4"/>
    <n v="26"/>
    <n v="2"/>
    <n v="8"/>
    <x v="2"/>
    <n v="9.7412916892843597"/>
    <x v="4"/>
    <x v="3"/>
    <n v="28"/>
    <n v="447"/>
    <n v="3"/>
    <n v="40.382359702924802"/>
    <x v="0"/>
    <n v="3.69131029262872"/>
    <x v="1"/>
    <x v="2"/>
    <n v="758.72477260293795"/>
  </r>
  <r>
    <x v="0"/>
    <x v="25"/>
    <n v="39.629343985092603"/>
    <n v="73"/>
    <n v="142"/>
    <n v="2174.7770543506499"/>
    <s v="Male"/>
    <n v="82"/>
    <n v="11"/>
    <n v="52"/>
    <n v="3"/>
    <x v="2"/>
    <n v="2.2310736812817198"/>
    <x v="3"/>
    <x v="1"/>
    <n v="19"/>
    <n v="934"/>
    <n v="23"/>
    <n v="78.280383118415301"/>
    <x v="0"/>
    <n v="3.79723121711418"/>
    <x v="0"/>
    <x v="0"/>
    <n v="458.53594573920901"/>
  </r>
  <r>
    <x v="0"/>
    <x v="26"/>
    <n v="97.446946617892806"/>
    <n v="9"/>
    <n v="353"/>
    <n v="3716.49332589403"/>
    <s v="Male"/>
    <n v="59"/>
    <n v="16"/>
    <n v="48"/>
    <n v="4"/>
    <x v="0"/>
    <n v="6.5075486210785503"/>
    <x v="4"/>
    <x v="3"/>
    <n v="26"/>
    <n v="171"/>
    <n v="4"/>
    <n v="15.972229757181699"/>
    <x v="2"/>
    <n v="2.1193197367249201"/>
    <x v="2"/>
    <x v="2"/>
    <n v="617.86691645837698"/>
  </r>
  <r>
    <x v="2"/>
    <x v="27"/>
    <n v="92.557360812401996"/>
    <n v="42"/>
    <n v="352"/>
    <n v="2686.4572235759802"/>
    <s v="Unknown"/>
    <n v="47"/>
    <n v="9"/>
    <n v="62"/>
    <n v="8"/>
    <x v="2"/>
    <n v="7.4067509529980704"/>
    <x v="2"/>
    <x v="0"/>
    <n v="25"/>
    <n v="291"/>
    <n v="4"/>
    <n v="10.5282450700421"/>
    <x v="1"/>
    <n v="2.8646678378833701"/>
    <x v="3"/>
    <x v="0"/>
    <n v="762.45918215568304"/>
  </r>
  <r>
    <x v="2"/>
    <x v="28"/>
    <n v="2.3972747055971402"/>
    <n v="12"/>
    <n v="394"/>
    <n v="6117.3246150839896"/>
    <s v="Female"/>
    <n v="48"/>
    <n v="15"/>
    <n v="24"/>
    <n v="4"/>
    <x v="0"/>
    <n v="9.8981405080692202"/>
    <x v="1"/>
    <x v="0"/>
    <n v="13"/>
    <n v="171"/>
    <n v="7"/>
    <n v="59.429381810691503"/>
    <x v="1"/>
    <n v="0.81575707929567198"/>
    <x v="1"/>
    <x v="2"/>
    <n v="123.437027511827"/>
  </r>
  <r>
    <x v="2"/>
    <x v="29"/>
    <n v="63.447559185207297"/>
    <n v="3"/>
    <n v="253"/>
    <n v="8318.9031946171708"/>
    <s v="Female"/>
    <n v="45"/>
    <n v="5"/>
    <n v="67"/>
    <n v="7"/>
    <x v="0"/>
    <n v="8.1009731453970293"/>
    <x v="1"/>
    <x v="1"/>
    <n v="16"/>
    <n v="329"/>
    <n v="7"/>
    <n v="39.292875586065698"/>
    <x v="2"/>
    <n v="3.8780989365884802"/>
    <x v="0"/>
    <x v="0"/>
    <n v="764.93537594070801"/>
  </r>
  <r>
    <x v="0"/>
    <x v="30"/>
    <n v="8.0228592105263896"/>
    <n v="10"/>
    <n v="327"/>
    <n v="2766.3423668660798"/>
    <s v="Male"/>
    <n v="60"/>
    <n v="26"/>
    <n v="35"/>
    <n v="7"/>
    <x v="0"/>
    <n v="8.9545283153180097"/>
    <x v="3"/>
    <x v="1"/>
    <n v="27"/>
    <n v="806"/>
    <n v="30"/>
    <n v="51.634893400109299"/>
    <x v="0"/>
    <n v="0.96539470535239302"/>
    <x v="0"/>
    <x v="1"/>
    <n v="880.08098824716103"/>
  </r>
  <r>
    <x v="1"/>
    <x v="31"/>
    <n v="50.847393051718697"/>
    <n v="28"/>
    <n v="168"/>
    <n v="9655.1351027193905"/>
    <s v="Male"/>
    <n v="6"/>
    <n v="17"/>
    <n v="44"/>
    <n v="4"/>
    <x v="0"/>
    <n v="2.6796609649813998"/>
    <x v="0"/>
    <x v="4"/>
    <n v="24"/>
    <n v="461"/>
    <n v="8"/>
    <n v="60.251145661598002"/>
    <x v="0"/>
    <n v="2.9890000066550702"/>
    <x v="2"/>
    <x v="1"/>
    <n v="609.379206618426"/>
  </r>
  <r>
    <x v="1"/>
    <x v="32"/>
    <n v="79.209936015656695"/>
    <n v="43"/>
    <n v="781"/>
    <n v="9571.5504873278096"/>
    <s v="Unknown"/>
    <n v="89"/>
    <n v="13"/>
    <n v="64"/>
    <n v="4"/>
    <x v="2"/>
    <n v="6.5991049012385803"/>
    <x v="0"/>
    <x v="1"/>
    <n v="30"/>
    <n v="737"/>
    <n v="7"/>
    <n v="29.6924671537497"/>
    <x v="2"/>
    <n v="1.94603611938611"/>
    <x v="0"/>
    <x v="2"/>
    <n v="761.17390951487698"/>
  </r>
  <r>
    <x v="2"/>
    <x v="33"/>
    <n v="64.795435000155607"/>
    <n v="63"/>
    <n v="616"/>
    <n v="5149.9983504080301"/>
    <s v="Non-binary"/>
    <n v="4"/>
    <n v="17"/>
    <n v="95"/>
    <n v="9"/>
    <x v="2"/>
    <n v="4.85827050343664"/>
    <x v="2"/>
    <x v="4"/>
    <n v="1"/>
    <n v="251"/>
    <n v="23"/>
    <n v="23.853427512896101"/>
    <x v="1"/>
    <n v="3.54104601225092"/>
    <x v="3"/>
    <x v="2"/>
    <n v="371.25529551987103"/>
  </r>
  <r>
    <x v="1"/>
    <x v="34"/>
    <n v="37.467592329842397"/>
    <n v="96"/>
    <n v="602"/>
    <n v="9061.7108955077201"/>
    <s v="Unknown"/>
    <n v="1"/>
    <n v="26"/>
    <n v="21"/>
    <n v="7"/>
    <x v="1"/>
    <n v="1.0194875708221101"/>
    <x v="1"/>
    <x v="4"/>
    <n v="4"/>
    <n v="452"/>
    <n v="10"/>
    <n v="10.754272815029299"/>
    <x v="2"/>
    <n v="0.64660455937205397"/>
    <x v="0"/>
    <x v="0"/>
    <n v="510.35800043352299"/>
  </r>
  <r>
    <x v="2"/>
    <x v="35"/>
    <n v="84.957786816350406"/>
    <n v="11"/>
    <n v="449"/>
    <n v="6541.3293448024597"/>
    <s v="Female"/>
    <n v="42"/>
    <n v="27"/>
    <n v="85"/>
    <n v="8"/>
    <x v="2"/>
    <n v="5.2881899903273997"/>
    <x v="1"/>
    <x v="2"/>
    <n v="3"/>
    <n v="367"/>
    <n v="2"/>
    <n v="58.004787044743701"/>
    <x v="2"/>
    <n v="0.54115409806058101"/>
    <x v="3"/>
    <x v="1"/>
    <n v="553.42047123035502"/>
  </r>
  <r>
    <x v="1"/>
    <x v="36"/>
    <n v="9.81300257875405"/>
    <n v="34"/>
    <n v="963"/>
    <n v="7573.4024578487297"/>
    <s v="Female"/>
    <n v="18"/>
    <n v="23"/>
    <n v="28"/>
    <n v="3"/>
    <x v="0"/>
    <n v="2.1079512671590801"/>
    <x v="4"/>
    <x v="2"/>
    <n v="26"/>
    <n v="671"/>
    <n v="19"/>
    <n v="45.531364237162101"/>
    <x v="1"/>
    <n v="3.8055333792433501"/>
    <x v="1"/>
    <x v="1"/>
    <n v="403.80897424817999"/>
  </r>
  <r>
    <x v="1"/>
    <x v="37"/>
    <n v="23.3998447526143"/>
    <n v="5"/>
    <n v="963"/>
    <n v="2438.3399304700201"/>
    <s v="Female"/>
    <n v="25"/>
    <n v="8"/>
    <n v="21"/>
    <n v="9"/>
    <x v="1"/>
    <n v="1.53265527359043"/>
    <x v="0"/>
    <x v="1"/>
    <n v="24"/>
    <n v="867"/>
    <n v="15"/>
    <n v="34.343277465075303"/>
    <x v="0"/>
    <n v="2.61028808484811"/>
    <x v="3"/>
    <x v="2"/>
    <n v="183.932968043594"/>
  </r>
  <r>
    <x v="2"/>
    <x v="38"/>
    <n v="52.075930682707799"/>
    <n v="75"/>
    <n v="705"/>
    <n v="9692.3180402184298"/>
    <s v="Non-binary"/>
    <n v="69"/>
    <n v="1"/>
    <n v="88"/>
    <n v="5"/>
    <x v="0"/>
    <n v="9.2359314372492207"/>
    <x v="2"/>
    <x v="0"/>
    <n v="10"/>
    <n v="841"/>
    <n v="12"/>
    <n v="5.9306936455283097"/>
    <x v="0"/>
    <n v="0.613326899164507"/>
    <x v="1"/>
    <x v="0"/>
    <n v="339.67286994860598"/>
  </r>
  <r>
    <x v="1"/>
    <x v="39"/>
    <n v="19.127477265823199"/>
    <n v="26"/>
    <n v="176"/>
    <n v="1912.4656631007599"/>
    <s v="Female"/>
    <n v="78"/>
    <n v="29"/>
    <n v="34"/>
    <n v="3"/>
    <x v="1"/>
    <n v="5.5625037788303802"/>
    <x v="4"/>
    <x v="1"/>
    <n v="30"/>
    <n v="791"/>
    <n v="6"/>
    <n v="9.0058074287816403"/>
    <x v="1"/>
    <n v="1.4519722039968099"/>
    <x v="1"/>
    <x v="0"/>
    <n v="653.67299455203295"/>
  </r>
  <r>
    <x v="1"/>
    <x v="40"/>
    <n v="80.541424170940303"/>
    <n v="97"/>
    <n v="933"/>
    <n v="5724.9593504562599"/>
    <s v="Female"/>
    <n v="90"/>
    <n v="20"/>
    <n v="39"/>
    <n v="8"/>
    <x v="2"/>
    <n v="7.2295951397364702"/>
    <x v="1"/>
    <x v="1"/>
    <n v="18"/>
    <n v="793"/>
    <n v="1"/>
    <n v="88.179407104217404"/>
    <x v="0"/>
    <n v="4.2132694305865597"/>
    <x v="0"/>
    <x v="2"/>
    <n v="529.80872398069096"/>
  </r>
  <r>
    <x v="1"/>
    <x v="41"/>
    <n v="99.113291615317095"/>
    <n v="35"/>
    <n v="556"/>
    <n v="5521.2052590109697"/>
    <s v="Female"/>
    <n v="64"/>
    <n v="19"/>
    <n v="38"/>
    <n v="8"/>
    <x v="0"/>
    <n v="5.7732637437666501"/>
    <x v="3"/>
    <x v="4"/>
    <n v="18"/>
    <n v="892"/>
    <n v="7"/>
    <n v="95.332064548772493"/>
    <x v="1"/>
    <n v="4.5302262398259602E-2"/>
    <x v="3"/>
    <x v="2"/>
    <n v="275.52437113130901"/>
  </r>
  <r>
    <x v="1"/>
    <x v="42"/>
    <n v="46.529167614516702"/>
    <n v="98"/>
    <n v="155"/>
    <n v="1839.60942585676"/>
    <s v="Female"/>
    <n v="22"/>
    <n v="27"/>
    <n v="57"/>
    <n v="4"/>
    <x v="2"/>
    <n v="7.5262483268515004"/>
    <x v="2"/>
    <x v="3"/>
    <n v="26"/>
    <n v="179"/>
    <n v="7"/>
    <n v="96.422820639571796"/>
    <x v="1"/>
    <n v="4.9392552886209398"/>
    <x v="0"/>
    <x v="2"/>
    <n v="635.65712050199102"/>
  </r>
  <r>
    <x v="0"/>
    <x v="43"/>
    <n v="11.7432717763092"/>
    <n v="6"/>
    <n v="598"/>
    <n v="5737.4255991190203"/>
    <s v="Unknown"/>
    <n v="36"/>
    <n v="29"/>
    <n v="85"/>
    <n v="9"/>
    <x v="0"/>
    <n v="3.6940212683884499"/>
    <x v="2"/>
    <x v="0"/>
    <n v="1"/>
    <n v="206"/>
    <n v="23"/>
    <n v="26.2773659573324"/>
    <x v="0"/>
    <n v="0.37230476798509698"/>
    <x v="1"/>
    <x v="2"/>
    <n v="716.04411975933999"/>
  </r>
  <r>
    <x v="2"/>
    <x v="44"/>
    <n v="51.355790913110297"/>
    <n v="34"/>
    <n v="919"/>
    <n v="7152.28604943551"/>
    <s v="Female"/>
    <n v="13"/>
    <n v="19"/>
    <n v="72"/>
    <n v="6"/>
    <x v="2"/>
    <n v="7.5774496573766896"/>
    <x v="4"/>
    <x v="2"/>
    <n v="7"/>
    <n v="834"/>
    <n v="18"/>
    <n v="22.554106620887701"/>
    <x v="1"/>
    <n v="2.9626263204548802"/>
    <x v="2"/>
    <x v="2"/>
    <n v="610.45326961922694"/>
  </r>
  <r>
    <x v="0"/>
    <x v="45"/>
    <n v="33.784138033065503"/>
    <n v="1"/>
    <n v="24"/>
    <n v="5267.9568075105199"/>
    <s v="Male"/>
    <n v="93"/>
    <n v="7"/>
    <n v="52"/>
    <n v="6"/>
    <x v="0"/>
    <n v="5.2151550087119096"/>
    <x v="4"/>
    <x v="4"/>
    <n v="25"/>
    <n v="794"/>
    <n v="25"/>
    <n v="66.312544439991598"/>
    <x v="2"/>
    <n v="3.2196046120841002"/>
    <x v="2"/>
    <x v="2"/>
    <n v="495.30569702847299"/>
  </r>
  <r>
    <x v="0"/>
    <x v="46"/>
    <n v="27.082207199888899"/>
    <n v="75"/>
    <n v="859"/>
    <n v="2556.7673606335902"/>
    <s v="Non-binary"/>
    <n v="92"/>
    <n v="29"/>
    <n v="6"/>
    <n v="8"/>
    <x v="0"/>
    <n v="4.0709558370840799"/>
    <x v="0"/>
    <x v="4"/>
    <n v="18"/>
    <n v="870"/>
    <n v="23"/>
    <n v="77.322353211051606"/>
    <x v="0"/>
    <n v="3.6486105925361998"/>
    <x v="0"/>
    <x v="0"/>
    <n v="380.43593711196399"/>
  </r>
  <r>
    <x v="1"/>
    <x v="47"/>
    <n v="95.712135880936003"/>
    <n v="93"/>
    <n v="910"/>
    <n v="7089.4742499341801"/>
    <s v="Male"/>
    <n v="4"/>
    <n v="15"/>
    <n v="51"/>
    <n v="9"/>
    <x v="0"/>
    <n v="8.9787507559499709"/>
    <x v="1"/>
    <x v="1"/>
    <n v="10"/>
    <n v="964"/>
    <n v="20"/>
    <n v="19.7129929112936"/>
    <x v="0"/>
    <n v="0.38057358671321301"/>
    <x v="2"/>
    <x v="2"/>
    <n v="581.60235505058597"/>
  </r>
  <r>
    <x v="0"/>
    <x v="48"/>
    <n v="76.035544426891704"/>
    <n v="28"/>
    <n v="29"/>
    <n v="7397.0710045871801"/>
    <s v="Non-binary"/>
    <n v="30"/>
    <n v="16"/>
    <n v="9"/>
    <n v="3"/>
    <x v="2"/>
    <n v="7.0958331565551296"/>
    <x v="4"/>
    <x v="0"/>
    <n v="9"/>
    <n v="109"/>
    <n v="18"/>
    <n v="23.126363582464698"/>
    <x v="1"/>
    <n v="1.6981125407144"/>
    <x v="2"/>
    <x v="0"/>
    <n v="768.65191395437"/>
  </r>
  <r>
    <x v="2"/>
    <x v="49"/>
    <n v="78.897913205639995"/>
    <n v="19"/>
    <n v="99"/>
    <n v="8001.6132065190004"/>
    <s v="Unknown"/>
    <n v="97"/>
    <n v="24"/>
    <n v="9"/>
    <n v="6"/>
    <x v="2"/>
    <n v="2.5056210329009101"/>
    <x v="2"/>
    <x v="2"/>
    <n v="28"/>
    <n v="177"/>
    <n v="28"/>
    <n v="14.1478154439792"/>
    <x v="2"/>
    <n v="2.8258139854001301"/>
    <x v="2"/>
    <x v="2"/>
    <n v="336.89016851997701"/>
  </r>
  <r>
    <x v="2"/>
    <x v="50"/>
    <n v="14.203484264803"/>
    <n v="91"/>
    <n v="633"/>
    <n v="5910.8853896688897"/>
    <s v="Female"/>
    <n v="31"/>
    <n v="23"/>
    <n v="82"/>
    <n v="10"/>
    <x v="1"/>
    <n v="6.2478609149759903"/>
    <x v="4"/>
    <x v="2"/>
    <n v="20"/>
    <n v="306"/>
    <n v="21"/>
    <n v="45.178757924634503"/>
    <x v="1"/>
    <n v="4.7548008046711798"/>
    <x v="2"/>
    <x v="0"/>
    <n v="496.24865029194001"/>
  </r>
  <r>
    <x v="0"/>
    <x v="51"/>
    <n v="26.700760972461701"/>
    <n v="61"/>
    <n v="154"/>
    <n v="9866.4654579796897"/>
    <s v="Male"/>
    <n v="100"/>
    <n v="4"/>
    <n v="52"/>
    <n v="1"/>
    <x v="1"/>
    <n v="4.78300055794766"/>
    <x v="2"/>
    <x v="3"/>
    <n v="18"/>
    <n v="673"/>
    <n v="28"/>
    <n v="14.190328344569901"/>
    <x v="0"/>
    <n v="1.77295117208355"/>
    <x v="0"/>
    <x v="2"/>
    <n v="694.98231757944495"/>
  </r>
  <r>
    <x v="1"/>
    <x v="52"/>
    <n v="98.031829656465007"/>
    <n v="1"/>
    <n v="820"/>
    <n v="9435.7626089121295"/>
    <s v="Male"/>
    <n v="64"/>
    <n v="11"/>
    <n v="11"/>
    <n v="1"/>
    <x v="0"/>
    <n v="8.6310521797689397"/>
    <x v="1"/>
    <x v="0"/>
    <n v="10"/>
    <n v="727"/>
    <n v="27"/>
    <n v="9.1668491485971497"/>
    <x v="0"/>
    <n v="2.1224716191438202"/>
    <x v="1"/>
    <x v="1"/>
    <n v="602.89849883838303"/>
  </r>
  <r>
    <x v="1"/>
    <x v="53"/>
    <n v="30.3414707112142"/>
    <n v="93"/>
    <n v="242"/>
    <n v="8232.3348294258194"/>
    <s v="Male"/>
    <n v="96"/>
    <n v="25"/>
    <n v="54"/>
    <n v="3"/>
    <x v="0"/>
    <n v="1.0134865660958901"/>
    <x v="1"/>
    <x v="2"/>
    <n v="1"/>
    <n v="631"/>
    <n v="17"/>
    <n v="83.344058991677898"/>
    <x v="0"/>
    <n v="1.41034757607602"/>
    <x v="1"/>
    <x v="0"/>
    <n v="750.73784066827"/>
  </r>
  <r>
    <x v="0"/>
    <x v="54"/>
    <n v="31.1462431602408"/>
    <n v="11"/>
    <n v="622"/>
    <n v="6088.0214799408504"/>
    <s v="Non-binary"/>
    <n v="33"/>
    <n v="22"/>
    <n v="61"/>
    <n v="3"/>
    <x v="0"/>
    <n v="4.3051034712876302"/>
    <x v="1"/>
    <x v="1"/>
    <n v="26"/>
    <n v="497"/>
    <n v="29"/>
    <n v="30.186023375822501"/>
    <x v="2"/>
    <n v="2.4787719755397402"/>
    <x v="0"/>
    <x v="0"/>
    <n v="814.06999658218695"/>
  </r>
  <r>
    <x v="0"/>
    <x v="55"/>
    <n v="79.855058340789398"/>
    <n v="16"/>
    <n v="701"/>
    <n v="2925.6751703038099"/>
    <s v="Male"/>
    <n v="97"/>
    <n v="11"/>
    <n v="11"/>
    <n v="5"/>
    <x v="1"/>
    <n v="5.0143649550309002"/>
    <x v="4"/>
    <x v="2"/>
    <n v="27"/>
    <n v="918"/>
    <n v="5"/>
    <n v="30.323545256616502"/>
    <x v="1"/>
    <n v="4.5489196593963799"/>
    <x v="3"/>
    <x v="0"/>
    <n v="323.01292795247798"/>
  </r>
  <r>
    <x v="1"/>
    <x v="56"/>
    <n v="20.9863860370433"/>
    <n v="90"/>
    <n v="93"/>
    <n v="4767.0204843441297"/>
    <s v="Non-binary"/>
    <n v="25"/>
    <n v="23"/>
    <n v="83"/>
    <n v="5"/>
    <x v="2"/>
    <n v="1.77442971407173"/>
    <x v="1"/>
    <x v="0"/>
    <n v="24"/>
    <n v="826"/>
    <n v="28"/>
    <n v="12.8362845728327"/>
    <x v="2"/>
    <n v="1.1737554953874501"/>
    <x v="1"/>
    <x v="0"/>
    <n v="832.210808706021"/>
  </r>
  <r>
    <x v="0"/>
    <x v="57"/>
    <n v="49.263205350734097"/>
    <n v="65"/>
    <n v="227"/>
    <n v="1605.8669003924001"/>
    <s v="Unknown"/>
    <n v="5"/>
    <n v="18"/>
    <n v="51"/>
    <n v="1"/>
    <x v="0"/>
    <n v="9.1605585353818704"/>
    <x v="4"/>
    <x v="2"/>
    <n v="21"/>
    <n v="588"/>
    <n v="25"/>
    <n v="67.779622987078099"/>
    <x v="0"/>
    <n v="2.5111748302126999"/>
    <x v="2"/>
    <x v="2"/>
    <n v="482.19123860252802"/>
  </r>
  <r>
    <x v="1"/>
    <x v="58"/>
    <n v="59.841561377289302"/>
    <n v="81"/>
    <n v="896"/>
    <n v="2021.1498103371"/>
    <s v="Non-binary"/>
    <n v="10"/>
    <n v="5"/>
    <n v="44"/>
    <n v="7"/>
    <x v="1"/>
    <n v="4.9384385647120901"/>
    <x v="0"/>
    <x v="2"/>
    <n v="18"/>
    <n v="396"/>
    <n v="7"/>
    <n v="65.047415094691402"/>
    <x v="1"/>
    <n v="1.7303747198591899"/>
    <x v="0"/>
    <x v="0"/>
    <n v="110.364335231364"/>
  </r>
  <r>
    <x v="2"/>
    <x v="59"/>
    <n v="63.828398347710902"/>
    <n v="30"/>
    <n v="484"/>
    <n v="1061.6185230132801"/>
    <s v="Non-binary"/>
    <n v="100"/>
    <n v="16"/>
    <n v="26"/>
    <n v="7"/>
    <x v="0"/>
    <n v="7.2937225968677204"/>
    <x v="1"/>
    <x v="1"/>
    <n v="11"/>
    <n v="176"/>
    <n v="4"/>
    <n v="1.90076224351945"/>
    <x v="1"/>
    <n v="0.44719401546382298"/>
    <x v="1"/>
    <x v="2"/>
    <n v="312.57427361009297"/>
  </r>
  <r>
    <x v="1"/>
    <x v="60"/>
    <n v="17.028027920188698"/>
    <n v="16"/>
    <n v="380"/>
    <n v="8864.0843495864301"/>
    <s v="Female"/>
    <n v="41"/>
    <n v="27"/>
    <n v="72"/>
    <n v="8"/>
    <x v="2"/>
    <n v="4.3813681581023101"/>
    <x v="3"/>
    <x v="0"/>
    <n v="29"/>
    <n v="929"/>
    <n v="24"/>
    <n v="87.213057815135599"/>
    <x v="1"/>
    <n v="2.8530906166490499"/>
    <x v="2"/>
    <x v="2"/>
    <n v="430.16909697513597"/>
  </r>
  <r>
    <x v="0"/>
    <x v="61"/>
    <n v="52.028749903294901"/>
    <n v="23"/>
    <n v="117"/>
    <n v="6885.5893508962499"/>
    <s v="Unknown"/>
    <n v="32"/>
    <n v="23"/>
    <n v="36"/>
    <n v="7"/>
    <x v="2"/>
    <n v="9.0303404225219399"/>
    <x v="3"/>
    <x v="1"/>
    <n v="14"/>
    <n v="480"/>
    <n v="12"/>
    <n v="78.702393968878894"/>
    <x v="1"/>
    <n v="4.3674705382050503"/>
    <x v="1"/>
    <x v="2"/>
    <n v="164.366528243419"/>
  </r>
  <r>
    <x v="2"/>
    <x v="62"/>
    <n v="72.796353955587307"/>
    <n v="89"/>
    <n v="270"/>
    <n v="3899.7468337292198"/>
    <s v="Unknown"/>
    <n v="86"/>
    <n v="2"/>
    <n v="40"/>
    <n v="7"/>
    <x v="2"/>
    <n v="7.2917013887767697"/>
    <x v="4"/>
    <x v="0"/>
    <n v="13"/>
    <n v="751"/>
    <n v="14"/>
    <n v="21.048642725168602"/>
    <x v="2"/>
    <n v="1.87400140404437"/>
    <x v="3"/>
    <x v="1"/>
    <n v="320.84651575911101"/>
  </r>
  <r>
    <x v="1"/>
    <x v="63"/>
    <n v="13.0173767852878"/>
    <n v="55"/>
    <n v="246"/>
    <n v="4256.9491408502199"/>
    <s v="Non-binary"/>
    <n v="54"/>
    <n v="19"/>
    <n v="10"/>
    <n v="4"/>
    <x v="1"/>
    <n v="2.45793352798733"/>
    <x v="0"/>
    <x v="3"/>
    <n v="18"/>
    <n v="736"/>
    <n v="10"/>
    <n v="20.075003975630398"/>
    <x v="0"/>
    <n v="3.6328432903821302"/>
    <x v="3"/>
    <x v="2"/>
    <n v="687.28617786641701"/>
  </r>
  <r>
    <x v="1"/>
    <x v="64"/>
    <n v="89.634095608135297"/>
    <n v="11"/>
    <n v="134"/>
    <n v="8458.7308783671706"/>
    <s v="Female"/>
    <n v="73"/>
    <n v="27"/>
    <n v="75"/>
    <n v="6"/>
    <x v="2"/>
    <n v="4.5853534681946497"/>
    <x v="1"/>
    <x v="2"/>
    <n v="17"/>
    <n v="328"/>
    <n v="6"/>
    <n v="8.6930424258772803"/>
    <x v="1"/>
    <n v="0.15948631471751401"/>
    <x v="1"/>
    <x v="1"/>
    <n v="771.225084681157"/>
  </r>
  <r>
    <x v="1"/>
    <x v="65"/>
    <n v="33.697717206643098"/>
    <n v="72"/>
    <n v="457"/>
    <n v="8354.5796864819895"/>
    <s v="Male"/>
    <n v="57"/>
    <n v="24"/>
    <n v="54"/>
    <n v="8"/>
    <x v="2"/>
    <n v="6.5805413478845898"/>
    <x v="2"/>
    <x v="1"/>
    <n v="16"/>
    <n v="358"/>
    <n v="21"/>
    <n v="1.59722274305067"/>
    <x v="1"/>
    <n v="4.9110959548423301"/>
    <x v="2"/>
    <x v="1"/>
    <n v="555.85910367174301"/>
  </r>
  <r>
    <x v="1"/>
    <x v="66"/>
    <n v="26.034869773962001"/>
    <n v="52"/>
    <n v="704"/>
    <n v="8367.7216180201503"/>
    <s v="Female"/>
    <n v="13"/>
    <n v="17"/>
    <n v="19"/>
    <n v="8"/>
    <x v="1"/>
    <n v="2.2161427287713602"/>
    <x v="2"/>
    <x v="1"/>
    <n v="24"/>
    <n v="867"/>
    <n v="28"/>
    <n v="42.084436738309897"/>
    <x v="1"/>
    <n v="3.44806328834026"/>
    <x v="0"/>
    <x v="2"/>
    <n v="393.84334857842703"/>
  </r>
  <r>
    <x v="1"/>
    <x v="67"/>
    <n v="87.755432354001002"/>
    <n v="16"/>
    <n v="513"/>
    <n v="9473.7980325083299"/>
    <s v="Unknown"/>
    <n v="12"/>
    <n v="9"/>
    <n v="71"/>
    <n v="9"/>
    <x v="2"/>
    <n v="9.1478115447106294"/>
    <x v="1"/>
    <x v="0"/>
    <n v="10"/>
    <n v="198"/>
    <n v="11"/>
    <n v="7.0578761469782298"/>
    <x v="2"/>
    <n v="0.131955444311814"/>
    <x v="3"/>
    <x v="1"/>
    <n v="169.27180138478599"/>
  </r>
  <r>
    <x v="0"/>
    <x v="68"/>
    <n v="37.931812382790298"/>
    <n v="29"/>
    <n v="163"/>
    <n v="3550.21843278099"/>
    <s v="Non-binary"/>
    <n v="0"/>
    <n v="8"/>
    <n v="58"/>
    <n v="8"/>
    <x v="0"/>
    <n v="1.19425186488499"/>
    <x v="4"/>
    <x v="3"/>
    <n v="2"/>
    <n v="375"/>
    <n v="18"/>
    <n v="97.113581563462205"/>
    <x v="1"/>
    <n v="1.9834678721741801"/>
    <x v="2"/>
    <x v="2"/>
    <n v="299.70630311810299"/>
  </r>
  <r>
    <x v="1"/>
    <x v="69"/>
    <n v="54.865528517069698"/>
    <n v="62"/>
    <n v="511"/>
    <n v="1752.3810874841199"/>
    <s v="Non-binary"/>
    <n v="95"/>
    <n v="1"/>
    <n v="27"/>
    <n v="3"/>
    <x v="0"/>
    <n v="9.7052867901203399"/>
    <x v="3"/>
    <x v="1"/>
    <n v="9"/>
    <n v="862"/>
    <n v="7"/>
    <n v="77.627765812748095"/>
    <x v="0"/>
    <n v="1.3623879886490999"/>
    <x v="1"/>
    <x v="2"/>
    <n v="207.66320620857499"/>
  </r>
  <r>
    <x v="0"/>
    <x v="70"/>
    <n v="47.914541824058702"/>
    <n v="90"/>
    <n v="32"/>
    <n v="7014.8879872033804"/>
    <s v="Female"/>
    <n v="10"/>
    <n v="12"/>
    <n v="22"/>
    <n v="4"/>
    <x v="0"/>
    <n v="6.3157177546007199"/>
    <x v="1"/>
    <x v="3"/>
    <n v="22"/>
    <n v="775"/>
    <n v="16"/>
    <n v="11.440781823761199"/>
    <x v="2"/>
    <n v="1.8305755986122301"/>
    <x v="0"/>
    <x v="1"/>
    <n v="183.27289874871099"/>
  </r>
  <r>
    <x v="2"/>
    <x v="71"/>
    <n v="6.3815331627479601"/>
    <n v="14"/>
    <n v="637"/>
    <n v="8180.3370854254399"/>
    <s v="Female"/>
    <n v="76"/>
    <n v="2"/>
    <n v="26"/>
    <n v="6"/>
    <x v="1"/>
    <n v="9.2281903170525101"/>
    <x v="4"/>
    <x v="3"/>
    <n v="2"/>
    <n v="258"/>
    <n v="10"/>
    <n v="30.661677477859499"/>
    <x v="0"/>
    <n v="2.07875060787496"/>
    <x v="0"/>
    <x v="2"/>
    <n v="405.167067888855"/>
  </r>
  <r>
    <x v="2"/>
    <x v="72"/>
    <n v="90.204427520528"/>
    <n v="88"/>
    <n v="478"/>
    <n v="2633.1219813122498"/>
    <s v="Non-binary"/>
    <n v="57"/>
    <n v="29"/>
    <n v="77"/>
    <n v="9"/>
    <x v="1"/>
    <n v="6.5996141596895397"/>
    <x v="1"/>
    <x v="3"/>
    <n v="21"/>
    <n v="152"/>
    <n v="11"/>
    <n v="55.760492895244198"/>
    <x v="0"/>
    <n v="3.2133296074383"/>
    <x v="2"/>
    <x v="0"/>
    <n v="677.94456984618296"/>
  </r>
  <r>
    <x v="2"/>
    <x v="73"/>
    <n v="83.851017681304597"/>
    <n v="41"/>
    <n v="375"/>
    <n v="7910.8869161406801"/>
    <s v="Male"/>
    <n v="17"/>
    <n v="25"/>
    <n v="66"/>
    <n v="5"/>
    <x v="0"/>
    <n v="1.5129368369160701"/>
    <x v="3"/>
    <x v="4"/>
    <n v="13"/>
    <n v="444"/>
    <n v="4"/>
    <n v="46.870238797617098"/>
    <x v="1"/>
    <n v="4.6205460645137002"/>
    <x v="0"/>
    <x v="2"/>
    <n v="866.472800129657"/>
  </r>
  <r>
    <x v="0"/>
    <x v="74"/>
    <n v="3.1700114135661499"/>
    <n v="64"/>
    <n v="904"/>
    <n v="5709.9452959692799"/>
    <s v="Female"/>
    <n v="41"/>
    <n v="6"/>
    <n v="1"/>
    <n v="5"/>
    <x v="1"/>
    <n v="5.2376546500374399"/>
    <x v="3"/>
    <x v="2"/>
    <n v="1"/>
    <n v="919"/>
    <n v="9"/>
    <n v="80.580852156447804"/>
    <x v="1"/>
    <n v="0.39661272410993498"/>
    <x v="2"/>
    <x v="2"/>
    <n v="341.55265678322297"/>
  </r>
  <r>
    <x v="1"/>
    <x v="75"/>
    <n v="92.996884233970604"/>
    <n v="29"/>
    <n v="106"/>
    <n v="1889.07358977933"/>
    <s v="Non-binary"/>
    <n v="16"/>
    <n v="20"/>
    <n v="56"/>
    <n v="10"/>
    <x v="2"/>
    <n v="2.47389776104546"/>
    <x v="1"/>
    <x v="4"/>
    <n v="25"/>
    <n v="759"/>
    <n v="11"/>
    <n v="48.064782640006499"/>
    <x v="2"/>
    <n v="2.0300690886687498"/>
    <x v="1"/>
    <x v="1"/>
    <n v="873.12964801765099"/>
  </r>
  <r>
    <x v="0"/>
    <x v="76"/>
    <n v="69.108799547430294"/>
    <n v="23"/>
    <n v="241"/>
    <n v="5328.3759842977497"/>
    <s v="Male"/>
    <n v="38"/>
    <n v="1"/>
    <n v="22"/>
    <n v="10"/>
    <x v="1"/>
    <n v="7.0545383368369201"/>
    <x v="4"/>
    <x v="3"/>
    <n v="25"/>
    <n v="985"/>
    <n v="24"/>
    <n v="64.323597795600193"/>
    <x v="0"/>
    <n v="2.1800374515822099"/>
    <x v="2"/>
    <x v="2"/>
    <n v="997.41345013319403"/>
  </r>
  <r>
    <x v="0"/>
    <x v="77"/>
    <n v="57.449742958971399"/>
    <n v="14"/>
    <n v="359"/>
    <n v="2483.7601775427902"/>
    <s v="Unknown"/>
    <n v="96"/>
    <n v="28"/>
    <n v="57"/>
    <n v="4"/>
    <x v="0"/>
    <n v="6.7809466256178901"/>
    <x v="1"/>
    <x v="1"/>
    <n v="26"/>
    <n v="334"/>
    <n v="5"/>
    <n v="42.952444748991802"/>
    <x v="2"/>
    <n v="3.0551418183075398"/>
    <x v="0"/>
    <x v="0"/>
    <n v="852.56809891984994"/>
  </r>
  <r>
    <x v="0"/>
    <x v="78"/>
    <n v="6.30688317611191"/>
    <n v="50"/>
    <n v="946"/>
    <n v="1292.45841793775"/>
    <s v="Unknown"/>
    <n v="5"/>
    <n v="4"/>
    <n v="51"/>
    <n v="5"/>
    <x v="0"/>
    <n v="8.4670497708619905"/>
    <x v="2"/>
    <x v="0"/>
    <n v="25"/>
    <n v="858"/>
    <n v="21"/>
    <n v="71.126514720403307"/>
    <x v="0"/>
    <n v="4.0968813324704501"/>
    <x v="3"/>
    <x v="1"/>
    <n v="323.59220343132199"/>
  </r>
  <r>
    <x v="0"/>
    <x v="79"/>
    <n v="57.057031221103202"/>
    <n v="56"/>
    <n v="198"/>
    <n v="7888.7232684270803"/>
    <s v="Non-binary"/>
    <n v="31"/>
    <n v="25"/>
    <n v="20"/>
    <n v="1"/>
    <x v="0"/>
    <n v="6.49632536429504"/>
    <x v="0"/>
    <x v="3"/>
    <n v="5"/>
    <n v="228"/>
    <n v="12"/>
    <n v="57.870902924036201"/>
    <x v="0"/>
    <n v="0.16587162748060799"/>
    <x v="1"/>
    <x v="1"/>
    <n v="351.50421933503799"/>
  </r>
  <r>
    <x v="1"/>
    <x v="80"/>
    <n v="91.128318350444303"/>
    <n v="75"/>
    <n v="872"/>
    <n v="8651.67268298206"/>
    <s v="Unknown"/>
    <n v="39"/>
    <n v="14"/>
    <n v="41"/>
    <n v="2"/>
    <x v="2"/>
    <n v="2.8331846794189701"/>
    <x v="0"/>
    <x v="4"/>
    <n v="8"/>
    <n v="202"/>
    <n v="5"/>
    <n v="76.961228023819999"/>
    <x v="1"/>
    <n v="2.8496621985053299"/>
    <x v="3"/>
    <x v="0"/>
    <n v="787.77985049434403"/>
  </r>
  <r>
    <x v="0"/>
    <x v="81"/>
    <n v="72.819206930318202"/>
    <n v="9"/>
    <n v="774"/>
    <n v="4384.4134000458598"/>
    <s v="Unknown"/>
    <n v="48"/>
    <n v="6"/>
    <n v="8"/>
    <n v="5"/>
    <x v="0"/>
    <n v="4.0662775015120403"/>
    <x v="0"/>
    <x v="2"/>
    <n v="28"/>
    <n v="698"/>
    <n v="1"/>
    <n v="19.789592941903599"/>
    <x v="0"/>
    <n v="2.54754712154871"/>
    <x v="2"/>
    <x v="0"/>
    <n v="276.77833594679799"/>
  </r>
  <r>
    <x v="1"/>
    <x v="82"/>
    <n v="17.034930739467899"/>
    <n v="13"/>
    <n v="336"/>
    <n v="2943.3818676094502"/>
    <s v="Unknown"/>
    <n v="42"/>
    <n v="19"/>
    <n v="72"/>
    <n v="1"/>
    <x v="1"/>
    <n v="4.7081818735419301"/>
    <x v="4"/>
    <x v="0"/>
    <n v="6"/>
    <n v="955"/>
    <n v="26"/>
    <n v="4.4652784349432402"/>
    <x v="0"/>
    <n v="4.1378770486223502"/>
    <x v="0"/>
    <x v="1"/>
    <n v="589.97855562804"/>
  </r>
  <r>
    <x v="0"/>
    <x v="83"/>
    <n v="68.911246211606297"/>
    <n v="82"/>
    <n v="663"/>
    <n v="2411.7546321104901"/>
    <s v="Unknown"/>
    <n v="65"/>
    <n v="24"/>
    <n v="7"/>
    <n v="8"/>
    <x v="0"/>
    <n v="4.94983957799694"/>
    <x v="1"/>
    <x v="3"/>
    <n v="20"/>
    <n v="443"/>
    <n v="5"/>
    <n v="97.730593800533001"/>
    <x v="1"/>
    <n v="0.77300613406724705"/>
    <x v="0"/>
    <x v="2"/>
    <n v="682.97101822609295"/>
  </r>
  <r>
    <x v="0"/>
    <x v="84"/>
    <n v="89.104367292102197"/>
    <n v="99"/>
    <n v="618"/>
    <n v="2048.2900998487098"/>
    <s v="Unknown"/>
    <n v="73"/>
    <n v="26"/>
    <n v="80"/>
    <n v="10"/>
    <x v="1"/>
    <n v="8.3816156249226292"/>
    <x v="2"/>
    <x v="4"/>
    <n v="24"/>
    <n v="589"/>
    <n v="22"/>
    <n v="33.808636513209002"/>
    <x v="2"/>
    <n v="4.8434565771180402"/>
    <x v="1"/>
    <x v="0"/>
    <n v="465.45700596368698"/>
  </r>
  <r>
    <x v="2"/>
    <x v="85"/>
    <n v="76.962994415193805"/>
    <n v="83"/>
    <n v="25"/>
    <n v="8684.6130592538502"/>
    <s v="Female"/>
    <n v="15"/>
    <n v="18"/>
    <n v="66"/>
    <n v="2"/>
    <x v="2"/>
    <n v="8.2491687048717193"/>
    <x v="2"/>
    <x v="4"/>
    <n v="4"/>
    <n v="211"/>
    <n v="2"/>
    <n v="69.929345518672307"/>
    <x v="1"/>
    <n v="1.3744289997457499"/>
    <x v="0"/>
    <x v="0"/>
    <n v="842.68683000464102"/>
  </r>
  <r>
    <x v="1"/>
    <x v="86"/>
    <n v="19.9981769404042"/>
    <n v="18"/>
    <n v="223"/>
    <n v="1229.59102856498"/>
    <s v="Unknown"/>
    <n v="32"/>
    <n v="14"/>
    <n v="22"/>
    <n v="6"/>
    <x v="0"/>
    <n v="1.4543053101535499"/>
    <x v="1"/>
    <x v="0"/>
    <n v="4"/>
    <n v="569"/>
    <n v="18"/>
    <n v="74.608969995194599"/>
    <x v="2"/>
    <n v="2.0515129307662399"/>
    <x v="2"/>
    <x v="2"/>
    <n v="264.25488983586598"/>
  </r>
  <r>
    <x v="0"/>
    <x v="87"/>
    <n v="80.414036650355698"/>
    <n v="24"/>
    <n v="79"/>
    <n v="5133.8467010866898"/>
    <s v="Male"/>
    <n v="5"/>
    <n v="7"/>
    <n v="55"/>
    <n v="10"/>
    <x v="1"/>
    <n v="6.5758037975485299"/>
    <x v="0"/>
    <x v="4"/>
    <n v="27"/>
    <n v="523"/>
    <n v="17"/>
    <n v="28.696996824143099"/>
    <x v="1"/>
    <n v="3.6937377878392699"/>
    <x v="3"/>
    <x v="0"/>
    <n v="879.35921773492396"/>
  </r>
  <r>
    <x v="2"/>
    <x v="88"/>
    <n v="75.270406975724995"/>
    <n v="58"/>
    <n v="737"/>
    <n v="9444.7420330629793"/>
    <s v="Male"/>
    <n v="60"/>
    <n v="18"/>
    <n v="85"/>
    <n v="7"/>
    <x v="1"/>
    <n v="3.8012531329310701"/>
    <x v="4"/>
    <x v="0"/>
    <n v="21"/>
    <n v="953"/>
    <n v="11"/>
    <n v="68.1849190570411"/>
    <x v="0"/>
    <n v="0.722204401882931"/>
    <x v="3"/>
    <x v="2"/>
    <n v="103.916247960704"/>
  </r>
  <r>
    <x v="2"/>
    <x v="89"/>
    <n v="97.760085581938597"/>
    <n v="10"/>
    <n v="134"/>
    <n v="5924.6825668532301"/>
    <s v="Unknown"/>
    <n v="90"/>
    <n v="1"/>
    <n v="27"/>
    <n v="8"/>
    <x v="0"/>
    <n v="9.9298162452772498"/>
    <x v="1"/>
    <x v="1"/>
    <n v="23"/>
    <n v="370"/>
    <n v="11"/>
    <n v="46.603873381644398"/>
    <x v="0"/>
    <n v="1.9076657339590699"/>
    <x v="2"/>
    <x v="0"/>
    <n v="517.49997392906005"/>
  </r>
  <r>
    <x v="1"/>
    <x v="90"/>
    <n v="13.881913501359101"/>
    <n v="56"/>
    <n v="320"/>
    <n v="9592.6335702803099"/>
    <s v="Non-binary"/>
    <n v="66"/>
    <n v="18"/>
    <n v="96"/>
    <n v="7"/>
    <x v="0"/>
    <n v="7.6744307081126903"/>
    <x v="0"/>
    <x v="3"/>
    <n v="8"/>
    <n v="585"/>
    <n v="8"/>
    <n v="85.675963335797903"/>
    <x v="2"/>
    <n v="1.2193822244013801"/>
    <x v="2"/>
    <x v="0"/>
    <n v="990.07847250581096"/>
  </r>
  <r>
    <x v="2"/>
    <x v="91"/>
    <n v="62.111965463961702"/>
    <n v="90"/>
    <n v="916"/>
    <n v="1935.20679350759"/>
    <s v="Male"/>
    <n v="98"/>
    <n v="22"/>
    <n v="85"/>
    <n v="7"/>
    <x v="0"/>
    <n v="7.4715140844011403"/>
    <x v="3"/>
    <x v="2"/>
    <n v="5"/>
    <n v="207"/>
    <n v="28"/>
    <n v="39.772882502339897"/>
    <x v="0"/>
    <n v="0.62600185820939402"/>
    <x v="2"/>
    <x v="0"/>
    <n v="996.77831495062298"/>
  </r>
  <r>
    <x v="2"/>
    <x v="92"/>
    <n v="47.714233075820196"/>
    <n v="44"/>
    <n v="276"/>
    <n v="2100.1297546259302"/>
    <s v="Male"/>
    <n v="90"/>
    <n v="25"/>
    <n v="10"/>
    <n v="8"/>
    <x v="0"/>
    <n v="4.4695000261236002"/>
    <x v="4"/>
    <x v="0"/>
    <n v="4"/>
    <n v="671"/>
    <n v="29"/>
    <n v="62.612690395614301"/>
    <x v="2"/>
    <n v="0.33343182522473902"/>
    <x v="2"/>
    <x v="0"/>
    <n v="230.092782536762"/>
  </r>
  <r>
    <x v="0"/>
    <x v="93"/>
    <n v="69.290831002905406"/>
    <n v="88"/>
    <n v="114"/>
    <n v="4531.4021336919004"/>
    <s v="Unknown"/>
    <n v="63"/>
    <n v="17"/>
    <n v="66"/>
    <n v="1"/>
    <x v="2"/>
    <n v="7.00643205900439"/>
    <x v="3"/>
    <x v="4"/>
    <n v="21"/>
    <n v="824"/>
    <n v="20"/>
    <n v="35.633652343343797"/>
    <x v="1"/>
    <n v="4.1657817954241398"/>
    <x v="1"/>
    <x v="2"/>
    <n v="823.52384588815505"/>
  </r>
  <r>
    <x v="2"/>
    <x v="94"/>
    <n v="3.0376887246314102"/>
    <n v="97"/>
    <n v="987"/>
    <n v="7888.3565466618702"/>
    <s v="Unknown"/>
    <n v="77"/>
    <n v="26"/>
    <n v="72"/>
    <n v="9"/>
    <x v="0"/>
    <n v="6.9429459420325799"/>
    <x v="4"/>
    <x v="2"/>
    <n v="12"/>
    <n v="908"/>
    <n v="14"/>
    <n v="60.387378614862101"/>
    <x v="2"/>
    <n v="1.4636074984727701"/>
    <x v="2"/>
    <x v="0"/>
    <n v="846.66525698669398"/>
  </r>
  <r>
    <x v="0"/>
    <x v="95"/>
    <n v="77.903927219447695"/>
    <n v="65"/>
    <n v="672"/>
    <n v="7386.3639440486604"/>
    <s v="Unknown"/>
    <n v="15"/>
    <n v="14"/>
    <n v="26"/>
    <n v="9"/>
    <x v="0"/>
    <n v="8.6303388696027508"/>
    <x v="3"/>
    <x v="0"/>
    <n v="18"/>
    <n v="450"/>
    <n v="26"/>
    <n v="58.890685768589897"/>
    <x v="0"/>
    <n v="1.21088212958506"/>
    <x v="1"/>
    <x v="2"/>
    <n v="778.86424137664699"/>
  </r>
  <r>
    <x v="2"/>
    <x v="96"/>
    <n v="24.423131420373299"/>
    <n v="29"/>
    <n v="324"/>
    <n v="7698.4247656321104"/>
    <s v="Non-binary"/>
    <n v="67"/>
    <n v="2"/>
    <n v="32"/>
    <n v="3"/>
    <x v="2"/>
    <n v="5.3528780439967996"/>
    <x v="0"/>
    <x v="0"/>
    <n v="28"/>
    <n v="648"/>
    <n v="28"/>
    <n v="17.803756331391199"/>
    <x v="0"/>
    <n v="3.8720476814821301"/>
    <x v="0"/>
    <x v="2"/>
    <n v="188.74214114905601"/>
  </r>
  <r>
    <x v="0"/>
    <x v="97"/>
    <n v="3.5261112591434101"/>
    <n v="56"/>
    <n v="62"/>
    <n v="4370.9165799845296"/>
    <s v="Male"/>
    <n v="46"/>
    <n v="19"/>
    <n v="4"/>
    <n v="9"/>
    <x v="1"/>
    <n v="7.9048456112096703"/>
    <x v="3"/>
    <x v="0"/>
    <n v="10"/>
    <n v="535"/>
    <n v="13"/>
    <n v="65.765155926367399"/>
    <x v="1"/>
    <n v="3.3762378347179798"/>
    <x v="0"/>
    <x v="2"/>
    <n v="540.13242286796697"/>
  </r>
  <r>
    <x v="1"/>
    <x v="98"/>
    <n v="19.754604866878601"/>
    <n v="43"/>
    <n v="913"/>
    <n v="8525.9525596835192"/>
    <s v="Female"/>
    <n v="53"/>
    <n v="1"/>
    <n v="27"/>
    <n v="7"/>
    <x v="0"/>
    <n v="1.4098010951380699"/>
    <x v="2"/>
    <x v="4"/>
    <n v="28"/>
    <n v="581"/>
    <n v="9"/>
    <n v="5.6046908643717801"/>
    <x v="0"/>
    <n v="2.9081221693512598"/>
    <x v="2"/>
    <x v="2"/>
    <n v="882.19886354704101"/>
  </r>
  <r>
    <x v="0"/>
    <x v="99"/>
    <n v="68.517832699276596"/>
    <n v="17"/>
    <n v="627"/>
    <n v="9185.1858291817007"/>
    <s v="Unknown"/>
    <n v="55"/>
    <n v="8"/>
    <n v="59"/>
    <n v="6"/>
    <x v="0"/>
    <n v="1.3110237561206199"/>
    <x v="4"/>
    <x v="4"/>
    <n v="29"/>
    <n v="921"/>
    <n v="2"/>
    <n v="38.072898520625998"/>
    <x v="1"/>
    <n v="0.34602729070550298"/>
    <x v="2"/>
    <x v="0"/>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A6D00D-FE71-4019-9AA0-424A33BD53D2}" name="Carrier by sipping cost &amp; tim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U25:W29" firstHeaderRow="0"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s>
  <rowFields count="1">
    <field x="11"/>
  </rowFields>
  <rowItems count="4">
    <i>
      <x v="1"/>
    </i>
    <i>
      <x v="2"/>
    </i>
    <i>
      <x/>
    </i>
    <i t="grand">
      <x/>
    </i>
  </rowItems>
  <colFields count="1">
    <field x="-2"/>
  </colFields>
  <colItems count="2">
    <i>
      <x/>
    </i>
    <i i="1">
      <x v="1"/>
    </i>
  </colItems>
  <dataFields count="2">
    <dataField name="Sum of Shipping costs" fld="12" baseField="0" baseItem="0"/>
    <dataField name="Sum of Shipping times" fld="10" baseField="0" baseItem="0"/>
  </dataFields>
  <formats count="1">
    <format dxfId="0">
      <pivotArea outline="0" collapsedLevelsAreSubtotals="1" fieldPosition="0"/>
    </format>
  </formats>
  <chartFormats count="8">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0"/>
          </reference>
          <reference field="11" count="1" selected="0">
            <x v="1"/>
          </reference>
        </references>
      </pivotArea>
    </chartFormat>
    <chartFormat chart="20" format="7">
      <pivotArea type="data" outline="0" fieldPosition="0">
        <references count="2">
          <reference field="4294967294" count="1" selected="0">
            <x v="0"/>
          </reference>
          <reference field="11" count="1" selected="0">
            <x v="2"/>
          </reference>
        </references>
      </pivotArea>
    </chartFormat>
    <chartFormat chart="20" format="8">
      <pivotArea type="data" outline="0" fieldPosition="0">
        <references count="2">
          <reference field="4294967294" count="1" selected="0">
            <x v="1"/>
          </reference>
          <reference field="11" count="1" selected="0">
            <x v="2"/>
          </reference>
        </references>
      </pivotArea>
    </chartFormat>
    <chartFormat chart="20" format="9">
      <pivotArea type="data" outline="0" fieldPosition="0">
        <references count="2">
          <reference field="4294967294" count="1" selected="0">
            <x v="1"/>
          </reference>
          <reference field="11" count="1" selected="0">
            <x v="1"/>
          </reference>
        </references>
      </pivotArea>
    </chartFormat>
    <chartFormat chart="20" format="10">
      <pivotArea type="data" outline="0" fieldPosition="0">
        <references count="2">
          <reference field="4294967294" count="1" selected="0">
            <x v="1"/>
          </reference>
          <reference field="11" count="1" selected="0">
            <x v="0"/>
          </reference>
        </references>
      </pivotArea>
    </chartFormat>
    <chartFormat chart="20" format="1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F4F495-0001-4174-B969-B53ECC23FE6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21:O25"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items count="5">
        <item x="1"/>
        <item x="2"/>
        <item x="0"/>
        <item x="3"/>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s>
  <rowFields count="1">
    <field x="22"/>
  </rowFields>
  <rowItems count="4">
    <i>
      <x v="2"/>
    </i>
    <i>
      <x/>
    </i>
    <i>
      <x v="1"/>
    </i>
    <i t="grand">
      <x/>
    </i>
  </rowItems>
  <colItems count="1">
    <i/>
  </colItems>
  <dataFields count="1">
    <dataField name="Sum of Costs" fld="23" baseField="0" baseItem="0"/>
  </dataFields>
  <formats count="1">
    <format dxfId="1">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4A9BD-529C-4314-9C84-E64CB18595AD}" name="Rev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4:E18" firstHeaderRow="1" firstDataRow="1" firstDataCol="1"/>
  <pivotFields count="24">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s>
  <rowFields count="1">
    <field x="0"/>
  </rowFields>
  <rowItems count="4">
    <i>
      <x/>
    </i>
    <i>
      <x v="1"/>
    </i>
    <i>
      <x v="2"/>
    </i>
    <i t="grand">
      <x/>
    </i>
  </rowItems>
  <colItems count="1">
    <i/>
  </colItems>
  <dataFields count="1">
    <dataField name="Sum of Revenue generated" fld="5"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48379-4797-40A2-8070-53E6B046BEA4}" name="KPI 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14:P15" firstHeaderRow="0" firstDataRow="1" firstDataCol="0"/>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dataField="1" showAll="0"/>
  </pivotFields>
  <rowItems count="1">
    <i/>
  </rowItems>
  <colFields count="1">
    <field x="-2"/>
  </colFields>
  <colItems count="3">
    <i>
      <x/>
    </i>
    <i i="1">
      <x v="1"/>
    </i>
    <i i="2">
      <x v="2"/>
    </i>
  </colItems>
  <dataFields count="3">
    <dataField name="Average of Shipping costs" fld="12" subtotal="average" baseField="0" baseItem="1"/>
    <dataField name="Average of Shipping times" fld="10" subtotal="average" baseField="0" baseItem="1"/>
    <dataField name="Sum of Costs" fld="23"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A01E1-2B06-4666-8816-7173901F8214}" name="Transport by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R22:S27"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21"/>
  </rowFields>
  <rowItems count="5">
    <i>
      <x v="2"/>
    </i>
    <i>
      <x/>
    </i>
    <i>
      <x v="1"/>
    </i>
    <i>
      <x v="3"/>
    </i>
    <i t="grand">
      <x/>
    </i>
  </rowItems>
  <colItems count="1">
    <i/>
  </colItems>
  <dataFields count="1">
    <dataField name="Sum of Shipping costs" fld="12" baseField="0" baseItem="0"/>
  </dataFields>
  <formats count="1">
    <format dxfId="4">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EBF778-3863-4970-8318-C6E373E73ED2}" name="KPI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F5" firstHeaderRow="0" firstDataRow="1" firstDataCol="0"/>
  <pivotFields count="24">
    <pivotField showAll="0">
      <items count="4">
        <item x="2"/>
        <item x="0"/>
        <item x="1"/>
        <item t="default"/>
      </items>
    </pivotField>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s>
  <rowItems count="1">
    <i/>
  </rowItems>
  <colFields count="1">
    <field x="-2"/>
  </colFields>
  <colItems count="3">
    <i>
      <x/>
    </i>
    <i i="1">
      <x v="1"/>
    </i>
    <i i="2">
      <x v="2"/>
    </i>
  </colItems>
  <dataFields count="3">
    <dataField name="Average of Price" fld="2" subtotal="average" baseField="0" baseItem="1"/>
    <dataField name="Sum of Revenue generated" fld="5" baseField="0" baseItem="0"/>
    <dataField name="Sum of Number of products sold" fld="4"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172A11-AAE9-4E90-9E8D-0AEEB0A1E80A}" name="KPI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6:T7" firstHeaderRow="0" firstDataRow="1" firstDataCol="0"/>
  <pivotFields count="24">
    <pivotField showAll="0">
      <items count="4">
        <item x="2"/>
        <item x="0"/>
        <item x="1"/>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dataField="1" showAll="0"/>
    <pivotField showAll="0">
      <items count="5">
        <item x="1"/>
        <item x="2"/>
        <item x="0"/>
        <item x="3"/>
        <item t="default"/>
      </items>
    </pivotField>
    <pivotField showAll="0"/>
    <pivotField showAll="0"/>
  </pivotFields>
  <rowItems count="1">
    <i/>
  </rowItems>
  <colFields count="1">
    <field x="-2"/>
  </colFields>
  <colItems count="3">
    <i>
      <x/>
    </i>
    <i i="1">
      <x v="1"/>
    </i>
    <i i="2">
      <x v="2"/>
    </i>
  </colItems>
  <dataFields count="3">
    <dataField name="Average of Stock levels" fld="7" subtotal="average" baseField="0" baseItem="1"/>
    <dataField name="Average of Lead times" fld="8" subtotal="average" baseField="0" baseItem="1"/>
    <dataField name="Average of Defect rates" fld="20" subtotal="average" baseField="0" baseItem="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53BA3C-C4A9-4ED1-AD46-D9B37F7ABE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K106" firstHeaderRow="0" firstDataRow="1" firstDataCol="1"/>
  <pivotFields count="24">
    <pivotField showAll="0">
      <items count="4">
        <item x="2"/>
        <item x="0"/>
        <item x="1"/>
        <item t="default"/>
      </items>
    </pivotField>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Sum of Number of products sold" fld="4" baseField="0" baseItem="0"/>
    <dataField name="Sum of Revenue generated" fld="5"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54D5B7-069F-4F7E-BCD4-2A6D0D86B73B}" name="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X12:Y18"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4"/>
        <item x="0"/>
        <item x="3"/>
        <item x="2"/>
        <item t="default"/>
      </items>
    </pivotField>
    <pivotField axis="axisRow" showAll="0" sortType="ascending">
      <items count="6">
        <item x="3"/>
        <item x="4"/>
        <item x="2"/>
        <item x="1"/>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5">
        <item x="1"/>
        <item x="2"/>
        <item x="0"/>
        <item x="3"/>
        <item t="default"/>
      </items>
    </pivotField>
    <pivotField showAll="0"/>
    <pivotField showAll="0"/>
  </pivotFields>
  <rowFields count="1">
    <field x="14"/>
  </rowFields>
  <rowItems count="6">
    <i>
      <x v="2"/>
    </i>
    <i>
      <x/>
    </i>
    <i>
      <x v="4"/>
    </i>
    <i>
      <x v="1"/>
    </i>
    <i>
      <x v="3"/>
    </i>
    <i t="grand">
      <x/>
    </i>
  </rowItems>
  <colItems count="1">
    <i/>
  </colItems>
  <dataFields count="1">
    <dataField name="Sum of Lead time" fld="15" baseField="0" baseItem="0"/>
  </dataFields>
  <formats count="1">
    <format dxfId="8">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29A55D-EF81-48BB-B919-A0DBA36355CA}" name="Product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6:O10" firstHeaderRow="1" firstDataRow="1" firstDataCol="1"/>
  <pivotFields count="24">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s>
  <rowFields count="1">
    <field x="0"/>
  </rowFields>
  <rowItems count="4">
    <i>
      <x v="2"/>
    </i>
    <i>
      <x v="1"/>
    </i>
    <i>
      <x/>
    </i>
    <i t="grand">
      <x/>
    </i>
  </rowItems>
  <colItems count="1">
    <i/>
  </colItems>
  <dataFields count="1">
    <dataField name="Sum of Revenue generated" fld="5" baseField="0" baseItem="0"/>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6BF563-FBA7-43BC-82AC-FB5A6756D70E}" name="Suppliee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U13:V19"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5">
        <item x="1"/>
        <item x="2"/>
        <item x="0"/>
        <item x="3"/>
        <item t="default"/>
      </items>
    </pivotField>
    <pivotField showAll="0"/>
    <pivotField showAll="0"/>
  </pivotFields>
  <rowFields count="1">
    <field x="13"/>
  </rowFields>
  <rowItems count="6">
    <i>
      <x v="2"/>
    </i>
    <i>
      <x v="3"/>
    </i>
    <i>
      <x v="4"/>
    </i>
    <i>
      <x/>
    </i>
    <i>
      <x v="1"/>
    </i>
    <i t="grand">
      <x/>
    </i>
  </rowItems>
  <colItems count="1">
    <i/>
  </colItems>
  <dataFields count="1">
    <dataField name="Sum of Defect rates" fld="20" baseField="0" baseItem="0"/>
  </dataFields>
  <formats count="1">
    <format dxfId="10">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48DE65-041A-4818-9C82-C283DABF10D9}" name="SKU  by Product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5:E31" firstHeaderRow="1" firstDataRow="1" firstDataCol="1"/>
  <pivotFields count="24">
    <pivotField showAll="0">
      <items count="4">
        <item x="2"/>
        <item x="0"/>
        <item x="1"/>
        <item t="default"/>
      </items>
    </pivotField>
    <pivotField axis="axisRow" showAll="0" measureFilter="1"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s>
  <rowFields count="1">
    <field x="1"/>
  </rowFields>
  <rowItems count="6">
    <i>
      <x v="31"/>
    </i>
    <i>
      <x v="30"/>
    </i>
    <i>
      <x v="89"/>
    </i>
    <i>
      <x v="94"/>
    </i>
    <i>
      <x v="2"/>
    </i>
    <i t="grand">
      <x/>
    </i>
  </rowItems>
  <colItems count="1">
    <i/>
  </colItems>
  <dataFields count="1">
    <dataField name="Sum of Number of products sold" fld="4" baseField="0" baseItem="0"/>
  </dataFields>
  <formats count="1">
    <format dxfId="11">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C39262-F14C-4F57-A0DF-8C733A43DC2C}" name="Inspection n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14:S18"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axis="axisRow" dataField="1" showAll="0">
      <items count="4">
        <item x="1"/>
        <item x="2"/>
        <item x="0"/>
        <item t="default"/>
      </items>
    </pivotField>
    <pivotField showAll="0"/>
    <pivotField showAll="0">
      <items count="5">
        <item x="1"/>
        <item x="2"/>
        <item x="0"/>
        <item x="3"/>
        <item t="default"/>
      </items>
    </pivotField>
    <pivotField showAll="0"/>
    <pivotField showAll="0"/>
  </pivotFields>
  <rowFields count="1">
    <field x="19"/>
  </rowFields>
  <rowItems count="4">
    <i>
      <x/>
    </i>
    <i>
      <x v="1"/>
    </i>
    <i>
      <x v="2"/>
    </i>
    <i t="grand">
      <x/>
    </i>
  </rowItems>
  <colItems count="1">
    <i/>
  </colItems>
  <dataFields count="1">
    <dataField name="Count of Inspection results" fld="19" subtotal="count" baseField="0" baseItem="0"/>
  </dataFields>
  <formats count="1">
    <format dxfId="12">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0"/>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6084710A-131D-4787-83BE-4018E02416D4}" sourceName="Supplier name">
  <pivotTables>
    <pivotTable tabId="2" name="Location"/>
    <pivotTable tabId="2" name="Carrier by sipping cost &amp; times"/>
    <pivotTable tabId="2" name="Inspection num"/>
    <pivotTable tabId="2" name="KPI 1"/>
    <pivotTable tabId="2" name="KPI 2"/>
    <pivotTable tabId="2" name="KPI 3"/>
    <pivotTable tabId="2" name="PivotTable12"/>
    <pivotTable tabId="2" name="PivotTable5"/>
    <pivotTable tabId="2" name="Product by Revenue"/>
    <pivotTable tabId="2" name="Rev by Product"/>
    <pivotTable tabId="2" name="SKU  by Product Sold"/>
    <pivotTable tabId="2" name="Supplieer "/>
    <pivotTable tabId="2" name="Transport by cost"/>
  </pivotTables>
  <data>
    <tabular pivotCacheId="60138417">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4EE30DA9-B8F1-426A-B6D8-4D7E9A94FB87}" sourceName="Transportation modes">
  <pivotTables>
    <pivotTable tabId="2" name="Location"/>
    <pivotTable tabId="2" name="Carrier by sipping cost &amp; times"/>
    <pivotTable tabId="2" name="Inspection num"/>
    <pivotTable tabId="2" name="KPI 1"/>
    <pivotTable tabId="2" name="KPI 2"/>
    <pivotTable tabId="2" name="KPI 3"/>
    <pivotTable tabId="2" name="PivotTable12"/>
    <pivotTable tabId="2" name="PivotTable5"/>
    <pivotTable tabId="2" name="Product by Revenue"/>
    <pivotTable tabId="2" name="Rev by Product"/>
    <pivotTable tabId="2" name="SKU  by Product Sold"/>
    <pivotTable tabId="2" name="Supplieer "/>
    <pivotTable tabId="2" name="Transport by cost"/>
  </pivotTables>
  <data>
    <tabular pivotCacheId="60138417">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0B7DAAD-0999-4126-B21E-6500F6351E45}" sourceName="Product type">
  <pivotTables>
    <pivotTable tabId="2" name="Supplieer "/>
    <pivotTable tabId="2" name="Carrier by sipping cost &amp; times"/>
    <pivotTable tabId="2" name="Inspection num"/>
    <pivotTable tabId="2" name="KPI 1"/>
    <pivotTable tabId="2" name="KPI 2"/>
    <pivotTable tabId="2" name="KPI 3"/>
    <pivotTable tabId="2" name="Location"/>
    <pivotTable tabId="2" name="PivotTable12"/>
    <pivotTable tabId="2" name="PivotTable5"/>
    <pivotTable tabId="2" name="Product by Revenue"/>
    <pivotTable tabId="2" name="Rev by Product"/>
    <pivotTable tabId="2" name="SKU  by Product Sold"/>
    <pivotTable tabId="2" name="Transport by cost"/>
  </pivotTables>
  <data>
    <tabular pivotCacheId="6013841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F6A3D5DD-90C9-4FD9-B78E-90B3FF9F01BB}" cache="Slicer_Product_type" caption="Product type" style="Slicer Style 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xr10:uid="{250FD6D8-A59C-4C0E-86AA-03B3D1C1085F}" cache="Slicer_Supplier_name" caption="Supplier name" columnCount="2" style="Slicer Style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ation" xr10:uid="{1A546F7B-8B68-43D5-B48D-6444E25021FA}" cache="Slicer_Transportation_modes" caption="Transportation"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B9C12C-FB12-4763-84AF-DD7BE114C6F2}" name="Table1" displayName="Table1" ref="A1:X101" totalsRowShown="0">
  <autoFilter ref="A1:X101" xr:uid="{C6B9C12C-FB12-4763-84AF-DD7BE114C6F2}"/>
  <tableColumns count="24">
    <tableColumn id="1" xr3:uid="{566BF197-0DF8-4DDA-8BED-178D2AA42A15}" name="Product type"/>
    <tableColumn id="2" xr3:uid="{5D03593B-8E4A-444D-BF02-CFA7BCEA5B82}" name="SKU"/>
    <tableColumn id="3" xr3:uid="{CBBD5DD0-43F4-4B1F-B429-4813CA99C2B5}" name="Price"/>
    <tableColumn id="4" xr3:uid="{C455175D-D078-4FBE-A719-989A3C9916A4}" name="Availability"/>
    <tableColumn id="5" xr3:uid="{5FA977FE-6CDF-494C-B7DB-F692A0E4946E}" name="Number of products sold"/>
    <tableColumn id="6" xr3:uid="{98F72CD5-6059-4267-8761-FDC56AD5B32B}" name="Revenue generated"/>
    <tableColumn id="7" xr3:uid="{DBC9FB0B-04C8-4965-B7BD-E54F12867C4B}" name="Customer demographics"/>
    <tableColumn id="8" xr3:uid="{4305ABC8-9484-4065-9970-F2D72AB24387}" name="Stock levels"/>
    <tableColumn id="9" xr3:uid="{EF214B53-36E3-487A-8FF0-2D2A537844A5}" name="Lead times"/>
    <tableColumn id="10" xr3:uid="{30705C6C-E617-42DD-93F9-E5FC5139D564}" name="Order quantities"/>
    <tableColumn id="11" xr3:uid="{BDF0E595-C475-44A9-AEF7-B7A241BBA19C}" name="Shipping times"/>
    <tableColumn id="12" xr3:uid="{2E57DB94-FE9A-4CD3-AA52-1C05A23E27A0}" name="Shipping carriers"/>
    <tableColumn id="13" xr3:uid="{EB32AC11-B9A2-4D1E-9917-5D77DBBF5FF8}" name="Shipping costs"/>
    <tableColumn id="14" xr3:uid="{3EC8BE55-4823-47D5-989D-8A4B6232F64D}" name="Supplier name"/>
    <tableColumn id="15" xr3:uid="{F6147245-8239-4286-90B3-31276BD435D2}" name="Location"/>
    <tableColumn id="16" xr3:uid="{C70C1000-FBDD-4AB6-887D-2CF697068E4C}" name="Lead time"/>
    <tableColumn id="17" xr3:uid="{776BF600-F189-4F92-8C72-A7699F202E3A}" name="Production volumes"/>
    <tableColumn id="18" xr3:uid="{F6708DE6-53C4-4369-89E3-EB4493E7516F}" name="Manufacturing lead time"/>
    <tableColumn id="19" xr3:uid="{071432A6-4820-42A4-8DA7-A21E74985468}" name="Manufacturing costs"/>
    <tableColumn id="20" xr3:uid="{6F37D338-165B-4AB2-9D95-742934CCD675}" name="Inspection results"/>
    <tableColumn id="21" xr3:uid="{2E138048-C0DE-476B-9D57-A686E4E8142C}" name="Defect rates"/>
    <tableColumn id="22" xr3:uid="{CE4CA885-EA78-432A-AAF6-E6473B854891}" name="Transportation modes"/>
    <tableColumn id="23" xr3:uid="{EA66DD4A-9614-46AB-852D-CA79074225EA}" name="Routes"/>
    <tableColumn id="24" xr3:uid="{56D0F1DF-08F6-4EF0-A4B3-2457024D19BC}" name="Cos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F1B-FCD3-48B9-A0B3-D2E8CA91368E}">
  <dimension ref="A1:X101"/>
  <sheetViews>
    <sheetView topLeftCell="E1" zoomScaleNormal="100" workbookViewId="0">
      <selection activeCell="J5" sqref="J5"/>
    </sheetView>
  </sheetViews>
  <sheetFormatPr defaultRowHeight="14.4" x14ac:dyDescent="0.3"/>
  <cols>
    <col min="1" max="1" width="13.44140625" customWidth="1"/>
    <col min="2" max="2" width="6.33203125" customWidth="1"/>
    <col min="3" max="3" width="12" bestFit="1" customWidth="1"/>
    <col min="4" max="4" width="12.33203125" customWidth="1"/>
    <col min="5" max="5" width="23.21875" customWidth="1"/>
    <col min="6" max="6" width="18.5546875" customWidth="1"/>
    <col min="7" max="7" width="23.21875" customWidth="1"/>
    <col min="8" max="8" width="12.88671875" customWidth="1"/>
    <col min="9" max="9" width="12" customWidth="1"/>
    <col min="10" max="10" width="16.44140625" customWidth="1"/>
    <col min="11" max="11" width="15.33203125" customWidth="1"/>
    <col min="12" max="12" width="17" customWidth="1"/>
    <col min="13" max="14" width="15" customWidth="1"/>
    <col min="15" max="15" width="10" customWidth="1"/>
    <col min="16" max="16" width="11.109375" customWidth="1"/>
    <col min="17" max="17" width="19.33203125" customWidth="1"/>
    <col min="18" max="18" width="22.88671875" customWidth="1"/>
    <col min="19" max="19" width="19.44140625" customWidth="1"/>
    <col min="20" max="20" width="17.6640625" customWidth="1"/>
    <col min="21" max="21" width="12.88671875" customWidth="1"/>
    <col min="22" max="22" width="21" customWidth="1"/>
    <col min="23" max="23" width="8.5546875" customWidth="1"/>
    <col min="24" max="24" width="12"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x14ac:dyDescent="0.3">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x14ac:dyDescent="0.3">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x14ac:dyDescent="0.3">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x14ac:dyDescent="0.3">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x14ac:dyDescent="0.3">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x14ac:dyDescent="0.3">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x14ac:dyDescent="0.3">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x14ac:dyDescent="0.3">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x14ac:dyDescent="0.3">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x14ac:dyDescent="0.3">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x14ac:dyDescent="0.3">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x14ac:dyDescent="0.3">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x14ac:dyDescent="0.3">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x14ac:dyDescent="0.3">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x14ac:dyDescent="0.3">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x14ac:dyDescent="0.3">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x14ac:dyDescent="0.3">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x14ac:dyDescent="0.3">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x14ac:dyDescent="0.3">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x14ac:dyDescent="0.3">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x14ac:dyDescent="0.3">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x14ac:dyDescent="0.3">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x14ac:dyDescent="0.3">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x14ac:dyDescent="0.3">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x14ac:dyDescent="0.3">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x14ac:dyDescent="0.3">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x14ac:dyDescent="0.3">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x14ac:dyDescent="0.3">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x14ac:dyDescent="0.3">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x14ac:dyDescent="0.3">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x14ac:dyDescent="0.3">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x14ac:dyDescent="0.3">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x14ac:dyDescent="0.3">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x14ac:dyDescent="0.3">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x14ac:dyDescent="0.3">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x14ac:dyDescent="0.3">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x14ac:dyDescent="0.3">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x14ac:dyDescent="0.3">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x14ac:dyDescent="0.3">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x14ac:dyDescent="0.3">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x14ac:dyDescent="0.3">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x14ac:dyDescent="0.3">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x14ac:dyDescent="0.3">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x14ac:dyDescent="0.3">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x14ac:dyDescent="0.3">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x14ac:dyDescent="0.3">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x14ac:dyDescent="0.3">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x14ac:dyDescent="0.3">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x14ac:dyDescent="0.3">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x14ac:dyDescent="0.3">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x14ac:dyDescent="0.3">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x14ac:dyDescent="0.3">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x14ac:dyDescent="0.3">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x14ac:dyDescent="0.3">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x14ac:dyDescent="0.3">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x14ac:dyDescent="0.3">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x14ac:dyDescent="0.3">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x14ac:dyDescent="0.3">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x14ac:dyDescent="0.3">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x14ac:dyDescent="0.3">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x14ac:dyDescent="0.3">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x14ac:dyDescent="0.3">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x14ac:dyDescent="0.3">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x14ac:dyDescent="0.3">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x14ac:dyDescent="0.3">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x14ac:dyDescent="0.3">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x14ac:dyDescent="0.3">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x14ac:dyDescent="0.3">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x14ac:dyDescent="0.3">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x14ac:dyDescent="0.3">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x14ac:dyDescent="0.3">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x14ac:dyDescent="0.3">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x14ac:dyDescent="0.3">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x14ac:dyDescent="0.3">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x14ac:dyDescent="0.3">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x14ac:dyDescent="0.3">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x14ac:dyDescent="0.3">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x14ac:dyDescent="0.3">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x14ac:dyDescent="0.3">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x14ac:dyDescent="0.3">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x14ac:dyDescent="0.3">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x14ac:dyDescent="0.3">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x14ac:dyDescent="0.3">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x14ac:dyDescent="0.3">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x14ac:dyDescent="0.3">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x14ac:dyDescent="0.3">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x14ac:dyDescent="0.3">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x14ac:dyDescent="0.3">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x14ac:dyDescent="0.3">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x14ac:dyDescent="0.3">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x14ac:dyDescent="0.3">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x14ac:dyDescent="0.3">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x14ac:dyDescent="0.3">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x14ac:dyDescent="0.3">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x14ac:dyDescent="0.3">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x14ac:dyDescent="0.3">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x14ac:dyDescent="0.3">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x14ac:dyDescent="0.3">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x14ac:dyDescent="0.3">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D9F19-74DE-475D-B951-726C09492F2F}">
  <dimension ref="D4:Y106"/>
  <sheetViews>
    <sheetView topLeftCell="S2" workbookViewId="0">
      <selection activeCell="V17" sqref="V17"/>
    </sheetView>
  </sheetViews>
  <sheetFormatPr defaultRowHeight="14.4" x14ac:dyDescent="0.3"/>
  <cols>
    <col min="4" max="4" width="12.44140625" bestFit="1" customWidth="1"/>
    <col min="5" max="6" width="27.77734375" bestFit="1" customWidth="1"/>
    <col min="7" max="7" width="12" bestFit="1" customWidth="1"/>
    <col min="8" max="9" width="12.44140625" bestFit="1" customWidth="1"/>
    <col min="10" max="10" width="27.77734375" bestFit="1" customWidth="1"/>
    <col min="11" max="11" width="23" bestFit="1" customWidth="1"/>
    <col min="14" max="14" width="12.44140625" bestFit="1" customWidth="1"/>
    <col min="15" max="15" width="23" bestFit="1" customWidth="1"/>
    <col min="16" max="16" width="11.6640625" bestFit="1" customWidth="1"/>
    <col min="18" max="18" width="12.44140625" bestFit="1" customWidth="1"/>
    <col min="19" max="19" width="19.33203125" bestFit="1" customWidth="1"/>
    <col min="20" max="20" width="20" bestFit="1" customWidth="1"/>
    <col min="21" max="21" width="12.44140625" bestFit="1" customWidth="1"/>
    <col min="22" max="22" width="19.33203125" bestFit="1" customWidth="1"/>
    <col min="23" max="23" width="19.6640625" bestFit="1" customWidth="1"/>
    <col min="24" max="24" width="12.44140625" bestFit="1" customWidth="1"/>
    <col min="25" max="25" width="15.33203125" bestFit="1" customWidth="1"/>
  </cols>
  <sheetData>
    <row r="4" spans="4:25" x14ac:dyDescent="0.3">
      <c r="D4" t="s">
        <v>159</v>
      </c>
      <c r="E4" t="s">
        <v>154</v>
      </c>
      <c r="F4" t="s">
        <v>155</v>
      </c>
    </row>
    <row r="5" spans="4:25" x14ac:dyDescent="0.3">
      <c r="D5" s="3">
        <v>49.462461344643671</v>
      </c>
      <c r="E5" s="3">
        <v>577604.81873800792</v>
      </c>
      <c r="F5" s="3">
        <v>46099</v>
      </c>
      <c r="I5" s="1" t="s">
        <v>157</v>
      </c>
      <c r="J5" t="s">
        <v>155</v>
      </c>
      <c r="K5" t="s">
        <v>154</v>
      </c>
    </row>
    <row r="6" spans="4:25" x14ac:dyDescent="0.3">
      <c r="I6" s="2" t="s">
        <v>25</v>
      </c>
      <c r="J6" s="3">
        <v>802</v>
      </c>
      <c r="K6" s="3">
        <v>8661.9967923923796</v>
      </c>
      <c r="N6" s="1" t="s">
        <v>157</v>
      </c>
      <c r="O6" t="s">
        <v>154</v>
      </c>
      <c r="R6" t="s">
        <v>161</v>
      </c>
      <c r="S6" t="s">
        <v>162</v>
      </c>
      <c r="T6" t="s">
        <v>163</v>
      </c>
    </row>
    <row r="7" spans="4:25" x14ac:dyDescent="0.3">
      <c r="D7" s="7">
        <f>GETPIVOTDATA("Average of Price",$D$4)</f>
        <v>49.462461344643671</v>
      </c>
      <c r="E7" s="7">
        <f>GETPIVOTDATA("Sum of Revenue generated",$D$4)</f>
        <v>577604.81873800792</v>
      </c>
      <c r="F7" s="4">
        <f>GETPIVOTDATA("Sum of Number of products sold",$D$4)</f>
        <v>46099</v>
      </c>
      <c r="I7" s="2" t="s">
        <v>34</v>
      </c>
      <c r="J7" s="3">
        <v>736</v>
      </c>
      <c r="K7" s="3">
        <v>7460.9000654458396</v>
      </c>
      <c r="N7" s="2" t="s">
        <v>33</v>
      </c>
      <c r="O7" s="3">
        <v>241628.16213306302</v>
      </c>
      <c r="R7" s="3">
        <v>47.77</v>
      </c>
      <c r="S7" s="3">
        <v>15.96</v>
      </c>
      <c r="T7" s="3">
        <v>2.2771579927396073</v>
      </c>
      <c r="U7" s="3"/>
      <c r="V7" s="3"/>
    </row>
    <row r="8" spans="4:25" x14ac:dyDescent="0.3">
      <c r="I8" s="2" t="s">
        <v>63</v>
      </c>
      <c r="J8" s="3">
        <v>996</v>
      </c>
      <c r="K8" s="3">
        <v>2330.9658020919401</v>
      </c>
      <c r="N8" s="2" t="s">
        <v>24</v>
      </c>
      <c r="O8" s="3">
        <v>174455.39060546222</v>
      </c>
      <c r="R8" s="4">
        <f>GETPIVOTDATA("Average of Stock levels",$R$6)</f>
        <v>47.77</v>
      </c>
      <c r="S8" s="4">
        <f>GETPIVOTDATA("Average of Lead times",$R$6)</f>
        <v>15.96</v>
      </c>
      <c r="T8" s="6">
        <f>GETPIVOTDATA("Average of Defect rates",$R$6)</f>
        <v>2.2771579927396073</v>
      </c>
      <c r="U8" s="3"/>
      <c r="V8" s="3"/>
    </row>
    <row r="9" spans="4:25" x14ac:dyDescent="0.3">
      <c r="I9" s="2" t="s">
        <v>65</v>
      </c>
      <c r="J9" s="3">
        <v>960</v>
      </c>
      <c r="K9" s="3">
        <v>6099.9441155814502</v>
      </c>
      <c r="N9" s="2" t="s">
        <v>57</v>
      </c>
      <c r="O9" s="3">
        <v>161521.26599948306</v>
      </c>
      <c r="U9" s="3"/>
      <c r="V9" s="3"/>
    </row>
    <row r="10" spans="4:25" x14ac:dyDescent="0.3">
      <c r="I10" s="2" t="s">
        <v>66</v>
      </c>
      <c r="J10" s="3">
        <v>336</v>
      </c>
      <c r="K10" s="3">
        <v>2873.74144602144</v>
      </c>
      <c r="N10" s="2" t="s">
        <v>158</v>
      </c>
      <c r="O10" s="3">
        <v>577604.81873800838</v>
      </c>
      <c r="U10" s="3"/>
      <c r="V10" s="3"/>
    </row>
    <row r="11" spans="4:25" x14ac:dyDescent="0.3">
      <c r="I11" s="2" t="s">
        <v>67</v>
      </c>
      <c r="J11" s="3">
        <v>249</v>
      </c>
      <c r="K11" s="3">
        <v>4052.7384162378598</v>
      </c>
      <c r="U11" s="3"/>
      <c r="V11" s="3"/>
    </row>
    <row r="12" spans="4:25" x14ac:dyDescent="0.3">
      <c r="I12" s="2" t="s">
        <v>68</v>
      </c>
      <c r="J12" s="3">
        <v>562</v>
      </c>
      <c r="K12" s="3">
        <v>8653.5709264697998</v>
      </c>
      <c r="U12" s="3"/>
      <c r="V12" s="3"/>
      <c r="X12" s="1" t="s">
        <v>157</v>
      </c>
      <c r="Y12" t="s">
        <v>165</v>
      </c>
    </row>
    <row r="13" spans="4:25" x14ac:dyDescent="0.3">
      <c r="I13" s="2" t="s">
        <v>69</v>
      </c>
      <c r="J13" s="3">
        <v>469</v>
      </c>
      <c r="K13" s="3">
        <v>5442.0867853976697</v>
      </c>
      <c r="U13" s="1" t="s">
        <v>157</v>
      </c>
      <c r="V13" t="s">
        <v>160</v>
      </c>
      <c r="X13" s="2" t="s">
        <v>50</v>
      </c>
      <c r="Y13" s="3">
        <v>219</v>
      </c>
    </row>
    <row r="14" spans="4:25" x14ac:dyDescent="0.3">
      <c r="D14" s="1" t="s">
        <v>157</v>
      </c>
      <c r="E14" t="s">
        <v>154</v>
      </c>
      <c r="I14" s="2" t="s">
        <v>70</v>
      </c>
      <c r="J14" s="3">
        <v>280</v>
      </c>
      <c r="K14" s="3">
        <v>6453.7979681762799</v>
      </c>
      <c r="N14" t="s">
        <v>168</v>
      </c>
      <c r="O14" t="s">
        <v>169</v>
      </c>
      <c r="P14" t="s">
        <v>156</v>
      </c>
      <c r="R14" s="1" t="s">
        <v>157</v>
      </c>
      <c r="S14" t="s">
        <v>164</v>
      </c>
      <c r="U14" s="2" t="s">
        <v>28</v>
      </c>
      <c r="V14" s="3">
        <v>36.986790461466988</v>
      </c>
      <c r="X14" s="2" t="s">
        <v>53</v>
      </c>
      <c r="Y14" s="3">
        <v>293</v>
      </c>
    </row>
    <row r="15" spans="4:25" x14ac:dyDescent="0.3">
      <c r="D15" s="2" t="s">
        <v>57</v>
      </c>
      <c r="E15" s="3">
        <v>161521.26599948306</v>
      </c>
      <c r="I15" s="2" t="s">
        <v>71</v>
      </c>
      <c r="J15" s="3">
        <v>126</v>
      </c>
      <c r="K15" s="3">
        <v>2629.39643484526</v>
      </c>
      <c r="N15" s="3">
        <v>5.5481490720195836</v>
      </c>
      <c r="O15" s="3">
        <v>5.75</v>
      </c>
      <c r="P15" s="3">
        <v>52924.578215814057</v>
      </c>
      <c r="R15" s="2" t="s">
        <v>46</v>
      </c>
      <c r="S15" s="3">
        <v>36</v>
      </c>
      <c r="U15" s="2" t="s">
        <v>52</v>
      </c>
      <c r="V15" s="3">
        <v>42.073153210644037</v>
      </c>
      <c r="X15" s="2" t="s">
        <v>29</v>
      </c>
      <c r="Y15" s="3">
        <v>337</v>
      </c>
    </row>
    <row r="16" spans="4:25" x14ac:dyDescent="0.3">
      <c r="D16" s="2" t="s">
        <v>24</v>
      </c>
      <c r="E16" s="3">
        <v>174455.39060546222</v>
      </c>
      <c r="I16" s="2" t="s">
        <v>72</v>
      </c>
      <c r="J16" s="3">
        <v>620</v>
      </c>
      <c r="K16" s="3">
        <v>9364.6735050761708</v>
      </c>
      <c r="N16" s="7">
        <f>GETPIVOTDATA("Average of Shipping costs",$N$14)</f>
        <v>5.5481490720195836</v>
      </c>
      <c r="O16" s="4">
        <f>GETPIVOTDATA("Average of Shipping times",$N$14)</f>
        <v>5.75</v>
      </c>
      <c r="P16" s="7">
        <f>GETPIVOTDATA("Sum of Costs",$N$14)</f>
        <v>52924.578215814057</v>
      </c>
      <c r="R16" s="2" t="s">
        <v>64</v>
      </c>
      <c r="S16" s="3">
        <v>23</v>
      </c>
      <c r="U16" s="2" t="s">
        <v>44</v>
      </c>
      <c r="V16" s="3">
        <v>47.97735019468557</v>
      </c>
      <c r="X16" s="2" t="s">
        <v>62</v>
      </c>
      <c r="Y16" s="3">
        <v>373</v>
      </c>
    </row>
    <row r="17" spans="4:25" x14ac:dyDescent="0.3">
      <c r="D17" s="2" t="s">
        <v>33</v>
      </c>
      <c r="E17" s="3">
        <v>241628.16213306302</v>
      </c>
      <c r="I17" s="2" t="s">
        <v>73</v>
      </c>
      <c r="J17" s="3">
        <v>187</v>
      </c>
      <c r="K17" s="3">
        <v>2553.4955849912099</v>
      </c>
      <c r="R17" s="2" t="s">
        <v>30</v>
      </c>
      <c r="S17" s="3">
        <v>41</v>
      </c>
      <c r="U17" s="2" t="s">
        <v>39</v>
      </c>
      <c r="V17" s="3">
        <v>48.698002215582711</v>
      </c>
      <c r="X17" s="2" t="s">
        <v>45</v>
      </c>
      <c r="Y17" s="3">
        <v>486</v>
      </c>
    </row>
    <row r="18" spans="4:25" x14ac:dyDescent="0.3">
      <c r="D18" s="2" t="s">
        <v>158</v>
      </c>
      <c r="E18" s="3">
        <v>577604.81873800838</v>
      </c>
      <c r="I18" s="2" t="s">
        <v>37</v>
      </c>
      <c r="J18" s="3">
        <v>8</v>
      </c>
      <c r="K18" s="3">
        <v>9577.7496258687297</v>
      </c>
      <c r="R18" s="2" t="s">
        <v>158</v>
      </c>
      <c r="S18" s="3">
        <v>100</v>
      </c>
      <c r="U18" s="2" t="s">
        <v>61</v>
      </c>
      <c r="V18" s="3">
        <v>51.980503191581285</v>
      </c>
      <c r="X18" s="2" t="s">
        <v>158</v>
      </c>
      <c r="Y18" s="3">
        <v>1708</v>
      </c>
    </row>
    <row r="19" spans="4:25" x14ac:dyDescent="0.3">
      <c r="I19" s="2" t="s">
        <v>74</v>
      </c>
      <c r="J19" s="3">
        <v>320</v>
      </c>
      <c r="K19" s="3">
        <v>8128.0276968511898</v>
      </c>
      <c r="U19" s="2" t="s">
        <v>158</v>
      </c>
      <c r="V19" s="3">
        <v>227.71579927396061</v>
      </c>
    </row>
    <row r="20" spans="4:25" x14ac:dyDescent="0.3">
      <c r="I20" s="2" t="s">
        <v>75</v>
      </c>
      <c r="J20" s="3">
        <v>601</v>
      </c>
      <c r="K20" s="3">
        <v>7087.0526963574302</v>
      </c>
    </row>
    <row r="21" spans="4:25" x14ac:dyDescent="0.3">
      <c r="I21" s="2" t="s">
        <v>76</v>
      </c>
      <c r="J21" s="3">
        <v>884</v>
      </c>
      <c r="K21" s="3">
        <v>2390.8078665561702</v>
      </c>
      <c r="N21" s="1" t="s">
        <v>157</v>
      </c>
      <c r="O21" t="s">
        <v>156</v>
      </c>
    </row>
    <row r="22" spans="4:25" x14ac:dyDescent="0.3">
      <c r="I22" s="2" t="s">
        <v>77</v>
      </c>
      <c r="J22" s="3">
        <v>391</v>
      </c>
      <c r="K22" s="3">
        <v>8858.3675710114803</v>
      </c>
      <c r="N22" s="2" t="s">
        <v>41</v>
      </c>
      <c r="O22" s="3">
        <v>10009.419695859558</v>
      </c>
      <c r="R22" s="1" t="s">
        <v>157</v>
      </c>
      <c r="S22" t="s">
        <v>166</v>
      </c>
    </row>
    <row r="23" spans="4:25" x14ac:dyDescent="0.3">
      <c r="I23" s="2" t="s">
        <v>78</v>
      </c>
      <c r="J23" s="3">
        <v>209</v>
      </c>
      <c r="K23" s="3">
        <v>9049.0778609398894</v>
      </c>
      <c r="N23" s="2" t="s">
        <v>48</v>
      </c>
      <c r="O23" s="3">
        <v>20875.774494353162</v>
      </c>
      <c r="R23" s="2" t="s">
        <v>31</v>
      </c>
      <c r="S23" s="3">
        <v>160.72134631132798</v>
      </c>
    </row>
    <row r="24" spans="4:25" x14ac:dyDescent="0.3">
      <c r="I24" s="2" t="s">
        <v>79</v>
      </c>
      <c r="J24" s="3">
        <v>142</v>
      </c>
      <c r="K24" s="3">
        <v>2174.7770543506499</v>
      </c>
      <c r="N24" s="2" t="s">
        <v>32</v>
      </c>
      <c r="O24" s="3">
        <v>22039.384025601335</v>
      </c>
      <c r="R24" s="2" t="s">
        <v>40</v>
      </c>
      <c r="S24" s="3">
        <v>156.46382382094401</v>
      </c>
    </row>
    <row r="25" spans="4:25" x14ac:dyDescent="0.3">
      <c r="D25" s="1" t="s">
        <v>157</v>
      </c>
      <c r="E25" t="s">
        <v>155</v>
      </c>
      <c r="I25" s="2" t="s">
        <v>80</v>
      </c>
      <c r="J25" s="3">
        <v>353</v>
      </c>
      <c r="K25" s="3">
        <v>3716.49332589403</v>
      </c>
      <c r="N25" s="2" t="s">
        <v>158</v>
      </c>
      <c r="O25" s="3">
        <v>52924.57821581405</v>
      </c>
      <c r="R25" s="2" t="s">
        <v>47</v>
      </c>
      <c r="S25" s="3">
        <v>153.13474221087998</v>
      </c>
      <c r="U25" s="1" t="s">
        <v>157</v>
      </c>
      <c r="V25" t="s">
        <v>166</v>
      </c>
      <c r="W25" t="s">
        <v>167</v>
      </c>
    </row>
    <row r="26" spans="4:25" x14ac:dyDescent="0.3">
      <c r="D26" s="2" t="s">
        <v>91</v>
      </c>
      <c r="E26" s="3">
        <v>963</v>
      </c>
      <c r="I26" s="2" t="s">
        <v>81</v>
      </c>
      <c r="J26" s="3">
        <v>352</v>
      </c>
      <c r="K26" s="3">
        <v>2686.4572235759802</v>
      </c>
      <c r="R26" s="2" t="s">
        <v>56</v>
      </c>
      <c r="S26" s="3">
        <v>84.49499485880628</v>
      </c>
      <c r="U26" s="2" t="s">
        <v>27</v>
      </c>
      <c r="V26" s="3">
        <v>236.8976196639353</v>
      </c>
      <c r="W26" s="3">
        <v>228</v>
      </c>
    </row>
    <row r="27" spans="4:25" x14ac:dyDescent="0.3">
      <c r="D27" s="2" t="s">
        <v>90</v>
      </c>
      <c r="E27" s="3">
        <v>963</v>
      </c>
      <c r="I27" s="2" t="s">
        <v>82</v>
      </c>
      <c r="J27" s="3">
        <v>394</v>
      </c>
      <c r="K27" s="3">
        <v>6117.3246150839896</v>
      </c>
      <c r="R27" s="2" t="s">
        <v>158</v>
      </c>
      <c r="S27" s="3">
        <v>554.81490720195825</v>
      </c>
      <c r="U27" s="2" t="s">
        <v>43</v>
      </c>
      <c r="V27" s="3">
        <v>162.37945693178756</v>
      </c>
      <c r="W27" s="3">
        <v>175</v>
      </c>
    </row>
    <row r="28" spans="4:25" x14ac:dyDescent="0.3">
      <c r="D28" s="2" t="s">
        <v>60</v>
      </c>
      <c r="E28" s="3">
        <v>980</v>
      </c>
      <c r="I28" s="2" t="s">
        <v>83</v>
      </c>
      <c r="J28" s="3">
        <v>253</v>
      </c>
      <c r="K28" s="3">
        <v>8318.9031946171708</v>
      </c>
      <c r="U28" s="2" t="s">
        <v>36</v>
      </c>
      <c r="V28" s="3">
        <v>155.53783060623547</v>
      </c>
      <c r="W28" s="3">
        <v>172</v>
      </c>
    </row>
    <row r="29" spans="4:25" x14ac:dyDescent="0.3">
      <c r="D29" s="2" t="s">
        <v>148</v>
      </c>
      <c r="E29" s="3">
        <v>987</v>
      </c>
      <c r="I29" s="2" t="s">
        <v>42</v>
      </c>
      <c r="J29" s="3">
        <v>83</v>
      </c>
      <c r="K29" s="3">
        <v>7766.8364256852301</v>
      </c>
      <c r="U29" s="2" t="s">
        <v>158</v>
      </c>
      <c r="V29" s="3">
        <v>554.81490720195836</v>
      </c>
      <c r="W29" s="3">
        <v>575</v>
      </c>
    </row>
    <row r="30" spans="4:25" x14ac:dyDescent="0.3">
      <c r="D30" s="2" t="s">
        <v>63</v>
      </c>
      <c r="E30" s="3">
        <v>996</v>
      </c>
      <c r="I30" s="2" t="s">
        <v>84</v>
      </c>
      <c r="J30" s="3">
        <v>327</v>
      </c>
      <c r="K30" s="3">
        <v>2766.3423668660798</v>
      </c>
    </row>
    <row r="31" spans="4:25" x14ac:dyDescent="0.3">
      <c r="D31" s="2" t="s">
        <v>158</v>
      </c>
      <c r="E31" s="3">
        <v>4889</v>
      </c>
      <c r="I31" s="2" t="s">
        <v>85</v>
      </c>
      <c r="J31" s="3">
        <v>168</v>
      </c>
      <c r="K31" s="3">
        <v>9655.1351027193905</v>
      </c>
    </row>
    <row r="32" spans="4:25" x14ac:dyDescent="0.3">
      <c r="I32" s="2" t="s">
        <v>86</v>
      </c>
      <c r="J32" s="3">
        <v>781</v>
      </c>
      <c r="K32" s="3">
        <v>9571.5504873278096</v>
      </c>
    </row>
    <row r="33" spans="9:22" x14ac:dyDescent="0.3">
      <c r="I33" s="2" t="s">
        <v>87</v>
      </c>
      <c r="J33" s="3">
        <v>616</v>
      </c>
      <c r="K33" s="3">
        <v>5149.9983504080301</v>
      </c>
    </row>
    <row r="34" spans="9:22" x14ac:dyDescent="0.3">
      <c r="I34" s="2" t="s">
        <v>88</v>
      </c>
      <c r="J34" s="3">
        <v>602</v>
      </c>
      <c r="K34" s="3">
        <v>9061.7108955077201</v>
      </c>
    </row>
    <row r="35" spans="9:22" x14ac:dyDescent="0.3">
      <c r="I35" s="2" t="s">
        <v>89</v>
      </c>
      <c r="J35" s="3">
        <v>449</v>
      </c>
      <c r="K35" s="3">
        <v>6541.3293448024597</v>
      </c>
    </row>
    <row r="36" spans="9:22" x14ac:dyDescent="0.3">
      <c r="I36" s="2" t="s">
        <v>90</v>
      </c>
      <c r="J36" s="3">
        <v>963</v>
      </c>
      <c r="K36" s="3">
        <v>7573.4024578487297</v>
      </c>
    </row>
    <row r="37" spans="9:22" x14ac:dyDescent="0.3">
      <c r="I37" s="2" t="s">
        <v>91</v>
      </c>
      <c r="J37" s="3">
        <v>963</v>
      </c>
      <c r="K37" s="3">
        <v>2438.3399304700201</v>
      </c>
    </row>
    <row r="38" spans="9:22" x14ac:dyDescent="0.3">
      <c r="I38" s="2" t="s">
        <v>92</v>
      </c>
      <c r="J38" s="3">
        <v>705</v>
      </c>
      <c r="K38" s="3">
        <v>9692.3180402184298</v>
      </c>
    </row>
    <row r="39" spans="9:22" x14ac:dyDescent="0.3">
      <c r="I39" s="2" t="s">
        <v>93</v>
      </c>
      <c r="J39" s="3">
        <v>176</v>
      </c>
      <c r="K39" s="3">
        <v>1912.4656631007599</v>
      </c>
    </row>
    <row r="40" spans="9:22" x14ac:dyDescent="0.3">
      <c r="I40" s="2" t="s">
        <v>49</v>
      </c>
      <c r="J40" s="3">
        <v>871</v>
      </c>
      <c r="K40" s="3">
        <v>2686.50515156744</v>
      </c>
      <c r="T40" s="2"/>
    </row>
    <row r="41" spans="9:22" x14ac:dyDescent="0.3">
      <c r="I41" s="2" t="s">
        <v>94</v>
      </c>
      <c r="J41" s="3">
        <v>933</v>
      </c>
      <c r="K41" s="3">
        <v>5724.9593504562599</v>
      </c>
      <c r="T41" s="2"/>
    </row>
    <row r="42" spans="9:22" x14ac:dyDescent="0.3">
      <c r="I42" s="2" t="s">
        <v>95</v>
      </c>
      <c r="J42" s="3">
        <v>556</v>
      </c>
      <c r="K42" s="3">
        <v>5521.2052590109697</v>
      </c>
      <c r="T42" s="2"/>
    </row>
    <row r="43" spans="9:22" x14ac:dyDescent="0.3">
      <c r="I43" s="2" t="s">
        <v>96</v>
      </c>
      <c r="J43" s="3">
        <v>155</v>
      </c>
      <c r="K43" s="3">
        <v>1839.60942585676</v>
      </c>
      <c r="T43" s="2"/>
      <c r="U43" s="3"/>
      <c r="V43" s="3"/>
    </row>
    <row r="44" spans="9:22" x14ac:dyDescent="0.3">
      <c r="I44" s="2" t="s">
        <v>97</v>
      </c>
      <c r="J44" s="3">
        <v>598</v>
      </c>
      <c r="K44" s="3">
        <v>5737.4255991190203</v>
      </c>
      <c r="T44" s="2"/>
      <c r="U44" s="3"/>
      <c r="V44" s="3"/>
    </row>
    <row r="45" spans="9:22" x14ac:dyDescent="0.3">
      <c r="I45" s="2" t="s">
        <v>98</v>
      </c>
      <c r="J45" s="3">
        <v>919</v>
      </c>
      <c r="K45" s="3">
        <v>7152.28604943551</v>
      </c>
      <c r="T45" s="2"/>
      <c r="U45" s="3"/>
      <c r="V45" s="3"/>
    </row>
    <row r="46" spans="9:22" x14ac:dyDescent="0.3">
      <c r="I46" s="2" t="s">
        <v>99</v>
      </c>
      <c r="J46" s="3">
        <v>24</v>
      </c>
      <c r="K46" s="3">
        <v>5267.9568075105199</v>
      </c>
      <c r="T46" s="2"/>
      <c r="U46" s="3"/>
      <c r="V46" s="3"/>
    </row>
    <row r="47" spans="9:22" x14ac:dyDescent="0.3">
      <c r="I47" s="2" t="s">
        <v>100</v>
      </c>
      <c r="J47" s="3">
        <v>859</v>
      </c>
      <c r="K47" s="3">
        <v>2556.7673606335902</v>
      </c>
      <c r="T47" s="2"/>
      <c r="U47" s="3"/>
      <c r="V47" s="3"/>
    </row>
    <row r="48" spans="9:22" x14ac:dyDescent="0.3">
      <c r="I48" s="2" t="s">
        <v>101</v>
      </c>
      <c r="J48" s="3">
        <v>910</v>
      </c>
      <c r="K48" s="3">
        <v>7089.4742499341801</v>
      </c>
      <c r="T48" s="2"/>
      <c r="U48" s="3"/>
      <c r="V48" s="3"/>
    </row>
    <row r="49" spans="9:22" x14ac:dyDescent="0.3">
      <c r="I49" s="2" t="s">
        <v>102</v>
      </c>
      <c r="J49" s="3">
        <v>29</v>
      </c>
      <c r="K49" s="3">
        <v>7397.0710045871801</v>
      </c>
      <c r="T49" s="2"/>
      <c r="U49" s="3"/>
      <c r="V49" s="3"/>
    </row>
    <row r="50" spans="9:22" x14ac:dyDescent="0.3">
      <c r="I50" s="2" t="s">
        <v>103</v>
      </c>
      <c r="J50" s="3">
        <v>99</v>
      </c>
      <c r="K50" s="3">
        <v>8001.6132065190004</v>
      </c>
      <c r="T50" s="2"/>
      <c r="U50" s="3"/>
      <c r="V50" s="3"/>
    </row>
    <row r="51" spans="9:22" x14ac:dyDescent="0.3">
      <c r="I51" s="2" t="s">
        <v>51</v>
      </c>
      <c r="J51" s="3">
        <v>147</v>
      </c>
      <c r="K51" s="3">
        <v>2828.3487459757498</v>
      </c>
      <c r="T51" s="2"/>
      <c r="U51" s="3"/>
      <c r="V51" s="3"/>
    </row>
    <row r="52" spans="9:22" x14ac:dyDescent="0.3">
      <c r="I52" s="2" t="s">
        <v>104</v>
      </c>
      <c r="J52" s="3">
        <v>633</v>
      </c>
      <c r="K52" s="3">
        <v>5910.8853896688897</v>
      </c>
      <c r="T52" s="2"/>
      <c r="U52" s="3"/>
      <c r="V52" s="3"/>
    </row>
    <row r="53" spans="9:22" x14ac:dyDescent="0.3">
      <c r="I53" s="2" t="s">
        <v>105</v>
      </c>
      <c r="J53" s="3">
        <v>154</v>
      </c>
      <c r="K53" s="3">
        <v>9866.4654579796897</v>
      </c>
      <c r="T53" s="2"/>
      <c r="U53" s="3"/>
      <c r="V53" s="3"/>
    </row>
    <row r="54" spans="9:22" x14ac:dyDescent="0.3">
      <c r="I54" s="2" t="s">
        <v>106</v>
      </c>
      <c r="J54" s="3">
        <v>820</v>
      </c>
      <c r="K54" s="3">
        <v>9435.7626089121295</v>
      </c>
      <c r="T54" s="2"/>
      <c r="U54" s="3"/>
      <c r="V54" s="3"/>
    </row>
    <row r="55" spans="9:22" x14ac:dyDescent="0.3">
      <c r="I55" s="2" t="s">
        <v>107</v>
      </c>
      <c r="J55" s="3">
        <v>242</v>
      </c>
      <c r="K55" s="3">
        <v>8232.3348294258194</v>
      </c>
      <c r="T55" s="2"/>
      <c r="U55" s="3"/>
      <c r="V55" s="3"/>
    </row>
    <row r="56" spans="9:22" x14ac:dyDescent="0.3">
      <c r="I56" s="2" t="s">
        <v>108</v>
      </c>
      <c r="J56" s="3">
        <v>622</v>
      </c>
      <c r="K56" s="3">
        <v>6088.0214799408504</v>
      </c>
      <c r="T56" s="2"/>
      <c r="U56" s="3"/>
      <c r="V56" s="3"/>
    </row>
    <row r="57" spans="9:22" x14ac:dyDescent="0.3">
      <c r="I57" s="2" t="s">
        <v>109</v>
      </c>
      <c r="J57" s="3">
        <v>701</v>
      </c>
      <c r="K57" s="3">
        <v>2925.6751703038099</v>
      </c>
      <c r="T57" s="2"/>
      <c r="U57" s="3"/>
      <c r="V57" s="3"/>
    </row>
    <row r="58" spans="9:22" x14ac:dyDescent="0.3">
      <c r="I58" s="2" t="s">
        <v>110</v>
      </c>
      <c r="J58" s="3">
        <v>93</v>
      </c>
      <c r="K58" s="3">
        <v>4767.0204843441297</v>
      </c>
      <c r="T58" s="2"/>
      <c r="U58" s="3"/>
      <c r="V58" s="3"/>
    </row>
    <row r="59" spans="9:22" x14ac:dyDescent="0.3">
      <c r="I59" s="2" t="s">
        <v>111</v>
      </c>
      <c r="J59" s="3">
        <v>227</v>
      </c>
      <c r="K59" s="3">
        <v>1605.8669003924001</v>
      </c>
      <c r="T59" s="2"/>
      <c r="U59" s="3"/>
      <c r="V59" s="3"/>
    </row>
    <row r="60" spans="9:22" x14ac:dyDescent="0.3">
      <c r="I60" s="2" t="s">
        <v>112</v>
      </c>
      <c r="J60" s="3">
        <v>896</v>
      </c>
      <c r="K60" s="3">
        <v>2021.1498103371</v>
      </c>
      <c r="T60" s="2"/>
      <c r="U60" s="3"/>
      <c r="V60" s="3"/>
    </row>
    <row r="61" spans="9:22" x14ac:dyDescent="0.3">
      <c r="I61" s="2" t="s">
        <v>113</v>
      </c>
      <c r="J61" s="3">
        <v>484</v>
      </c>
      <c r="K61" s="3">
        <v>1061.6185230132801</v>
      </c>
      <c r="T61" s="2"/>
      <c r="U61" s="3"/>
      <c r="V61" s="3"/>
    </row>
    <row r="62" spans="9:22" x14ac:dyDescent="0.3">
      <c r="I62" s="2" t="s">
        <v>54</v>
      </c>
      <c r="J62" s="3">
        <v>65</v>
      </c>
      <c r="K62" s="3">
        <v>7823.4765595317303</v>
      </c>
      <c r="T62" s="2"/>
      <c r="U62" s="3"/>
      <c r="V62" s="3"/>
    </row>
    <row r="63" spans="9:22" x14ac:dyDescent="0.3">
      <c r="I63" s="2" t="s">
        <v>114</v>
      </c>
      <c r="J63" s="3">
        <v>380</v>
      </c>
      <c r="K63" s="3">
        <v>8864.0843495864301</v>
      </c>
      <c r="T63" s="2"/>
      <c r="U63" s="3"/>
      <c r="V63" s="3"/>
    </row>
    <row r="64" spans="9:22" x14ac:dyDescent="0.3">
      <c r="I64" s="2" t="s">
        <v>115</v>
      </c>
      <c r="J64" s="3">
        <v>117</v>
      </c>
      <c r="K64" s="3">
        <v>6885.5893508962499</v>
      </c>
      <c r="T64" s="2"/>
      <c r="U64" s="3"/>
      <c r="V64" s="3"/>
    </row>
    <row r="65" spans="9:22" x14ac:dyDescent="0.3">
      <c r="I65" s="2" t="s">
        <v>116</v>
      </c>
      <c r="J65" s="3">
        <v>270</v>
      </c>
      <c r="K65" s="3">
        <v>3899.7468337292198</v>
      </c>
      <c r="T65" s="2"/>
      <c r="U65" s="3"/>
      <c r="V65" s="3"/>
    </row>
    <row r="66" spans="9:22" x14ac:dyDescent="0.3">
      <c r="I66" s="2" t="s">
        <v>117</v>
      </c>
      <c r="J66" s="3">
        <v>246</v>
      </c>
      <c r="K66" s="3">
        <v>4256.9491408502199</v>
      </c>
      <c r="T66" s="2"/>
      <c r="U66" s="3"/>
      <c r="V66" s="3"/>
    </row>
    <row r="67" spans="9:22" x14ac:dyDescent="0.3">
      <c r="I67" s="2" t="s">
        <v>118</v>
      </c>
      <c r="J67" s="3">
        <v>134</v>
      </c>
      <c r="K67" s="3">
        <v>8458.7308783671706</v>
      </c>
      <c r="T67" s="2"/>
      <c r="U67" s="3"/>
      <c r="V67" s="3"/>
    </row>
    <row r="68" spans="9:22" x14ac:dyDescent="0.3">
      <c r="I68" s="2" t="s">
        <v>119</v>
      </c>
      <c r="J68" s="3">
        <v>457</v>
      </c>
      <c r="K68" s="3">
        <v>8354.5796864819895</v>
      </c>
      <c r="T68" s="2"/>
      <c r="U68" s="3"/>
      <c r="V68" s="3"/>
    </row>
    <row r="69" spans="9:22" x14ac:dyDescent="0.3">
      <c r="I69" s="2" t="s">
        <v>120</v>
      </c>
      <c r="J69" s="3">
        <v>704</v>
      </c>
      <c r="K69" s="3">
        <v>8367.7216180201503</v>
      </c>
      <c r="T69" s="2"/>
      <c r="U69" s="3"/>
      <c r="V69" s="3"/>
    </row>
    <row r="70" spans="9:22" x14ac:dyDescent="0.3">
      <c r="I70" s="2" t="s">
        <v>121</v>
      </c>
      <c r="J70" s="3">
        <v>513</v>
      </c>
      <c r="K70" s="3">
        <v>9473.7980325083299</v>
      </c>
      <c r="T70" s="2"/>
      <c r="U70" s="3"/>
      <c r="V70" s="3"/>
    </row>
    <row r="71" spans="9:22" x14ac:dyDescent="0.3">
      <c r="I71" s="2" t="s">
        <v>122</v>
      </c>
      <c r="J71" s="3">
        <v>163</v>
      </c>
      <c r="K71" s="3">
        <v>3550.21843278099</v>
      </c>
      <c r="T71" s="2"/>
      <c r="U71" s="3"/>
      <c r="V71" s="3"/>
    </row>
    <row r="72" spans="9:22" x14ac:dyDescent="0.3">
      <c r="I72" s="2" t="s">
        <v>123</v>
      </c>
      <c r="J72" s="3">
        <v>511</v>
      </c>
      <c r="K72" s="3">
        <v>1752.3810874841199</v>
      </c>
      <c r="T72" s="2"/>
      <c r="U72" s="3"/>
      <c r="V72" s="3"/>
    </row>
    <row r="73" spans="9:22" x14ac:dyDescent="0.3">
      <c r="I73" s="2" t="s">
        <v>58</v>
      </c>
      <c r="J73" s="3">
        <v>426</v>
      </c>
      <c r="K73" s="3">
        <v>8496.1038130898305</v>
      </c>
      <c r="T73" s="2"/>
      <c r="U73" s="3"/>
      <c r="V73" s="3"/>
    </row>
    <row r="74" spans="9:22" x14ac:dyDescent="0.3">
      <c r="I74" s="2" t="s">
        <v>124</v>
      </c>
      <c r="J74" s="3">
        <v>32</v>
      </c>
      <c r="K74" s="3">
        <v>7014.8879872033804</v>
      </c>
      <c r="T74" s="2"/>
      <c r="U74" s="3"/>
      <c r="V74" s="3"/>
    </row>
    <row r="75" spans="9:22" x14ac:dyDescent="0.3">
      <c r="I75" s="2" t="s">
        <v>125</v>
      </c>
      <c r="J75" s="3">
        <v>637</v>
      </c>
      <c r="K75" s="3">
        <v>8180.3370854254399</v>
      </c>
      <c r="T75" s="2"/>
      <c r="U75" s="3"/>
      <c r="V75" s="3"/>
    </row>
    <row r="76" spans="9:22" x14ac:dyDescent="0.3">
      <c r="I76" s="2" t="s">
        <v>126</v>
      </c>
      <c r="J76" s="3">
        <v>478</v>
      </c>
      <c r="K76" s="3">
        <v>2633.1219813122498</v>
      </c>
      <c r="T76" s="2"/>
      <c r="U76" s="3"/>
      <c r="V76" s="3"/>
    </row>
    <row r="77" spans="9:22" x14ac:dyDescent="0.3">
      <c r="I77" s="2" t="s">
        <v>127</v>
      </c>
      <c r="J77" s="3">
        <v>375</v>
      </c>
      <c r="K77" s="3">
        <v>7910.8869161406801</v>
      </c>
      <c r="T77" s="2"/>
      <c r="U77" s="3"/>
      <c r="V77" s="3"/>
    </row>
    <row r="78" spans="9:22" x14ac:dyDescent="0.3">
      <c r="I78" s="2" t="s">
        <v>128</v>
      </c>
      <c r="J78" s="3">
        <v>904</v>
      </c>
      <c r="K78" s="3">
        <v>5709.9452959692799</v>
      </c>
      <c r="T78" s="2"/>
      <c r="U78" s="3"/>
      <c r="V78" s="3"/>
    </row>
    <row r="79" spans="9:22" x14ac:dyDescent="0.3">
      <c r="I79" s="2" t="s">
        <v>129</v>
      </c>
      <c r="J79" s="3">
        <v>106</v>
      </c>
      <c r="K79" s="3">
        <v>1889.07358977933</v>
      </c>
      <c r="T79" s="2"/>
      <c r="U79" s="3"/>
      <c r="V79" s="3"/>
    </row>
    <row r="80" spans="9:22" x14ac:dyDescent="0.3">
      <c r="I80" s="2" t="s">
        <v>130</v>
      </c>
      <c r="J80" s="3">
        <v>241</v>
      </c>
      <c r="K80" s="3">
        <v>5328.3759842977497</v>
      </c>
      <c r="T80" s="2"/>
      <c r="U80" s="3"/>
      <c r="V80" s="3"/>
    </row>
    <row r="81" spans="9:22" x14ac:dyDescent="0.3">
      <c r="I81" s="2" t="s">
        <v>131</v>
      </c>
      <c r="J81" s="3">
        <v>359</v>
      </c>
      <c r="K81" s="3">
        <v>2483.7601775427902</v>
      </c>
      <c r="T81" s="2"/>
      <c r="U81" s="3"/>
      <c r="V81" s="3"/>
    </row>
    <row r="82" spans="9:22" x14ac:dyDescent="0.3">
      <c r="I82" s="2" t="s">
        <v>132</v>
      </c>
      <c r="J82" s="3">
        <v>946</v>
      </c>
      <c r="K82" s="3">
        <v>1292.45841793775</v>
      </c>
      <c r="T82" s="2"/>
      <c r="U82" s="3"/>
      <c r="V82" s="3"/>
    </row>
    <row r="83" spans="9:22" x14ac:dyDescent="0.3">
      <c r="I83" s="2" t="s">
        <v>133</v>
      </c>
      <c r="J83" s="3">
        <v>198</v>
      </c>
      <c r="K83" s="3">
        <v>7888.7232684270803</v>
      </c>
      <c r="T83" s="2"/>
      <c r="U83" s="3"/>
      <c r="V83" s="3"/>
    </row>
    <row r="84" spans="9:22" x14ac:dyDescent="0.3">
      <c r="I84" s="2" t="s">
        <v>59</v>
      </c>
      <c r="J84" s="3">
        <v>150</v>
      </c>
      <c r="K84" s="3">
        <v>7517.3632106311197</v>
      </c>
      <c r="T84" s="2"/>
      <c r="U84" s="3"/>
      <c r="V84" s="3"/>
    </row>
    <row r="85" spans="9:22" x14ac:dyDescent="0.3">
      <c r="I85" s="2" t="s">
        <v>134</v>
      </c>
      <c r="J85" s="3">
        <v>872</v>
      </c>
      <c r="K85" s="3">
        <v>8651.67268298206</v>
      </c>
      <c r="T85" s="2"/>
      <c r="U85" s="3"/>
      <c r="V85" s="3"/>
    </row>
    <row r="86" spans="9:22" x14ac:dyDescent="0.3">
      <c r="I86" s="2" t="s">
        <v>135</v>
      </c>
      <c r="J86" s="3">
        <v>774</v>
      </c>
      <c r="K86" s="3">
        <v>4384.4134000458598</v>
      </c>
      <c r="T86" s="2"/>
      <c r="U86" s="3"/>
      <c r="V86" s="3"/>
    </row>
    <row r="87" spans="9:22" x14ac:dyDescent="0.3">
      <c r="I87" s="2" t="s">
        <v>136</v>
      </c>
      <c r="J87" s="3">
        <v>336</v>
      </c>
      <c r="K87" s="3">
        <v>2943.3818676094502</v>
      </c>
      <c r="T87" s="2"/>
      <c r="U87" s="3"/>
      <c r="V87" s="3"/>
    </row>
    <row r="88" spans="9:22" x14ac:dyDescent="0.3">
      <c r="I88" s="2" t="s">
        <v>137</v>
      </c>
      <c r="J88" s="3">
        <v>663</v>
      </c>
      <c r="K88" s="3">
        <v>2411.7546321104901</v>
      </c>
      <c r="T88" s="2"/>
      <c r="U88" s="3"/>
      <c r="V88" s="3"/>
    </row>
    <row r="89" spans="9:22" x14ac:dyDescent="0.3">
      <c r="I89" s="2" t="s">
        <v>138</v>
      </c>
      <c r="J89" s="3">
        <v>618</v>
      </c>
      <c r="K89" s="3">
        <v>2048.2900998487098</v>
      </c>
      <c r="T89" s="2"/>
      <c r="U89" s="3"/>
      <c r="V89" s="3"/>
    </row>
    <row r="90" spans="9:22" x14ac:dyDescent="0.3">
      <c r="I90" s="2" t="s">
        <v>139</v>
      </c>
      <c r="J90" s="3">
        <v>25</v>
      </c>
      <c r="K90" s="3">
        <v>8684.6130592538502</v>
      </c>
      <c r="T90" s="2"/>
      <c r="U90" s="3"/>
      <c r="V90" s="3"/>
    </row>
    <row r="91" spans="9:22" x14ac:dyDescent="0.3">
      <c r="I91" s="2" t="s">
        <v>140</v>
      </c>
      <c r="J91" s="3">
        <v>223</v>
      </c>
      <c r="K91" s="3">
        <v>1229.59102856498</v>
      </c>
      <c r="T91" s="2"/>
      <c r="U91" s="3"/>
      <c r="V91" s="3"/>
    </row>
    <row r="92" spans="9:22" x14ac:dyDescent="0.3">
      <c r="I92" s="2" t="s">
        <v>141</v>
      </c>
      <c r="J92" s="3">
        <v>79</v>
      </c>
      <c r="K92" s="3">
        <v>5133.8467010866898</v>
      </c>
      <c r="T92" s="2"/>
      <c r="U92" s="3"/>
      <c r="V92" s="3"/>
    </row>
    <row r="93" spans="9:22" x14ac:dyDescent="0.3">
      <c r="I93" s="2" t="s">
        <v>142</v>
      </c>
      <c r="J93" s="3">
        <v>737</v>
      </c>
      <c r="K93" s="3">
        <v>9444.7420330629793</v>
      </c>
      <c r="T93" s="2"/>
      <c r="U93" s="3"/>
      <c r="V93" s="3"/>
    </row>
    <row r="94" spans="9:22" x14ac:dyDescent="0.3">
      <c r="I94" s="2" t="s">
        <v>143</v>
      </c>
      <c r="J94" s="3">
        <v>134</v>
      </c>
      <c r="K94" s="3">
        <v>5924.6825668532301</v>
      </c>
      <c r="T94" s="2"/>
      <c r="U94" s="3"/>
      <c r="V94" s="3"/>
    </row>
    <row r="95" spans="9:22" x14ac:dyDescent="0.3">
      <c r="I95" s="2" t="s">
        <v>60</v>
      </c>
      <c r="J95" s="3">
        <v>980</v>
      </c>
      <c r="K95" s="3">
        <v>4971.1459875855498</v>
      </c>
      <c r="T95" s="2"/>
      <c r="U95" s="3"/>
      <c r="V95" s="3"/>
    </row>
    <row r="96" spans="9:22" x14ac:dyDescent="0.3">
      <c r="I96" s="2" t="s">
        <v>144</v>
      </c>
      <c r="J96" s="3">
        <v>320</v>
      </c>
      <c r="K96" s="3">
        <v>9592.6335702803099</v>
      </c>
      <c r="T96" s="2"/>
      <c r="U96" s="3"/>
      <c r="V96" s="3"/>
    </row>
    <row r="97" spans="9:22" x14ac:dyDescent="0.3">
      <c r="I97" s="2" t="s">
        <v>145</v>
      </c>
      <c r="J97" s="3">
        <v>916</v>
      </c>
      <c r="K97" s="3">
        <v>1935.20679350759</v>
      </c>
      <c r="T97" s="2"/>
      <c r="U97" s="3"/>
      <c r="V97" s="3"/>
    </row>
    <row r="98" spans="9:22" x14ac:dyDescent="0.3">
      <c r="I98" s="2" t="s">
        <v>146</v>
      </c>
      <c r="J98" s="3">
        <v>276</v>
      </c>
      <c r="K98" s="3">
        <v>2100.1297546259302</v>
      </c>
      <c r="T98" s="2"/>
      <c r="U98" s="3"/>
      <c r="V98" s="3"/>
    </row>
    <row r="99" spans="9:22" x14ac:dyDescent="0.3">
      <c r="I99" s="2" t="s">
        <v>147</v>
      </c>
      <c r="J99" s="3">
        <v>114</v>
      </c>
      <c r="K99" s="3">
        <v>4531.4021336919004</v>
      </c>
      <c r="T99" s="2"/>
      <c r="U99" s="3"/>
      <c r="V99" s="3"/>
    </row>
    <row r="100" spans="9:22" x14ac:dyDescent="0.3">
      <c r="I100" s="2" t="s">
        <v>148</v>
      </c>
      <c r="J100" s="3">
        <v>987</v>
      </c>
      <c r="K100" s="3">
        <v>7888.3565466618702</v>
      </c>
      <c r="T100" s="2"/>
      <c r="U100" s="3"/>
      <c r="V100" s="3"/>
    </row>
    <row r="101" spans="9:22" x14ac:dyDescent="0.3">
      <c r="I101" s="2" t="s">
        <v>149</v>
      </c>
      <c r="J101" s="3">
        <v>672</v>
      </c>
      <c r="K101" s="3">
        <v>7386.3639440486604</v>
      </c>
      <c r="T101" s="2"/>
      <c r="U101" s="3"/>
      <c r="V101" s="3"/>
    </row>
    <row r="102" spans="9:22" x14ac:dyDescent="0.3">
      <c r="I102" s="2" t="s">
        <v>150</v>
      </c>
      <c r="J102" s="3">
        <v>324</v>
      </c>
      <c r="K102" s="3">
        <v>7698.4247656321104</v>
      </c>
      <c r="T102" s="2"/>
      <c r="U102" s="3"/>
      <c r="V102" s="3"/>
    </row>
    <row r="103" spans="9:22" x14ac:dyDescent="0.3">
      <c r="I103" s="2" t="s">
        <v>151</v>
      </c>
      <c r="J103" s="3">
        <v>62</v>
      </c>
      <c r="K103" s="3">
        <v>4370.9165799845296</v>
      </c>
      <c r="T103" s="2"/>
      <c r="U103" s="3"/>
      <c r="V103" s="3"/>
    </row>
    <row r="104" spans="9:22" x14ac:dyDescent="0.3">
      <c r="I104" s="2" t="s">
        <v>152</v>
      </c>
      <c r="J104" s="3">
        <v>913</v>
      </c>
      <c r="K104" s="3">
        <v>8525.9525596835192</v>
      </c>
      <c r="T104" s="2"/>
      <c r="U104" s="3"/>
      <c r="V104" s="3"/>
    </row>
    <row r="105" spans="9:22" x14ac:dyDescent="0.3">
      <c r="I105" s="2" t="s">
        <v>153</v>
      </c>
      <c r="J105" s="3">
        <v>627</v>
      </c>
      <c r="K105" s="3">
        <v>9185.1858291817007</v>
      </c>
      <c r="T105" s="2"/>
      <c r="U105" s="3"/>
      <c r="V105" s="3"/>
    </row>
    <row r="106" spans="9:22" x14ac:dyDescent="0.3">
      <c r="I106" s="2" t="s">
        <v>158</v>
      </c>
      <c r="J106" s="3">
        <v>46099</v>
      </c>
      <c r="K106" s="3">
        <v>577604.81873800803</v>
      </c>
      <c r="T106" s="2"/>
      <c r="U106" s="3"/>
      <c r="V10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36553-947B-4AF1-A279-CEAEF3B64600}">
  <dimension ref="A1"/>
  <sheetViews>
    <sheetView showGridLines="0" workbookViewId="0">
      <selection activeCell="J5" sqref="J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3B38-3DB7-4E33-9B02-F3FCFD8CED7D}">
  <dimension ref="A1"/>
  <sheetViews>
    <sheetView showGridLines="0" workbookViewId="0"/>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9B34-7711-4805-95B0-777F709C2CE6}">
  <dimension ref="A1"/>
  <sheetViews>
    <sheetView showGridLines="0" tabSelected="1" workbookViewId="0"/>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supply_chain_data (Assignment)</vt:lpstr>
      <vt:lpstr>PivotTables</vt:lpstr>
      <vt:lpstr>Overview</vt:lpstr>
      <vt:lpstr>Supplier &amp; Quality</vt:lpstr>
      <vt:lpstr>Logistics &amp; Cost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amr abdelrazek</cp:lastModifiedBy>
  <dcterms:created xsi:type="dcterms:W3CDTF">2025-12-20T10:22:57Z</dcterms:created>
  <dcterms:modified xsi:type="dcterms:W3CDTF">2025-12-27T13:46:37Z</dcterms:modified>
</cp:coreProperties>
</file>